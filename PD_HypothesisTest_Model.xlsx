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 Summary" sheetId="1" state="visible" r:id="rId3"/>
    <sheet name="Data Inputs" sheetId="2" state="visible" r:id="rId4"/>
    <sheet name="Model - PD Estimation" sheetId="3" state="visible" r:id="rId5"/>
    <sheet name="Hypothesis Test" sheetId="4" state="visible" r:id="rId6"/>
    <sheet name="Normal Distribution Charts" sheetId="5" state="visible" r:id="rId7"/>
    <sheet name="Constraints &amp; Limitation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<sst xmlns="http://schemas.openxmlformats.org/spreadsheetml/2006/main" count="209" uniqueCount="177">
  <si>
    <t xml:space="preserve">Probability of Default — Hypothesis Testing Model</t>
  </si>
  <si>
    <t xml:space="preserve">Comparative Credit Risk Analysis: Microsoft Corporation (AAA) vs. a Newly-Listed Small-Cap Issuer (B/B-)</t>
  </si>
  <si>
    <t xml:space="preserve">Prepared for Board Review  |  Data current as of July 2026  |  Illustrative model for governance &amp; risk education purposes</t>
  </si>
  <si>
    <t xml:space="preserve">OVERVIEW</t>
  </si>
  <si>
    <t xml:space="preserve">1. WHAT THIS MODEL DOES</t>
  </si>
  <si>
    <t xml:space="preserve">This model tests, with statistical rigor, whether a newly-listed small-cap firm carries a significantly higher probability of default (PD) than an established blue-chip issuer such as Microsoft. It converts market-observable signals (credit rating, bond/CDS spread, leverage, interest coverage) into an estimated annual PD for each firm, then uses a two-sample hypothesis test (Z-test on proportions) to confirm the difference is statistically significant — not just a random gap in the numbers.</t>
  </si>
  <si>
    <t xml:space="preserve">2. THE BOTTOM LINE (in plain terms)</t>
  </si>
  <si>
    <t xml:space="preserve">Microsoft Corp. (AAA)</t>
  </si>
  <si>
    <t xml:space="preserve">New Small-Cap Issuer (B/B-)</t>
  </si>
  <si>
    <t xml:space="preserve">1-Year Estimated Probability of Default</t>
  </si>
  <si>
    <t xml:space="preserve">3. WHY THIS MATTERS FOR THE BOARD</t>
  </si>
  <si>
    <t xml:space="preserve">• A statistically confirmed gap in default risk is not a matter of opinion — it is measurable, and it should directly shape credit limits, collateral terms, and pricing when the board considers exposure to either counterparty.</t>
  </si>
  <si>
    <t xml:space="preserve">• Microsoft's PD reflects four decades of diversified, highly profitable operations, minimal leverage, and the top rating from every major agency — the market treats its debt as close to risk-free.</t>
  </si>
  <si>
    <t xml:space="preserve">• The new issuer's PD reflects the structural realities of a young public company: thinner cash buffers, higher leverage, unproven resilience through a full economic cycle, and a credit rating that sits in speculative-grade territory.</t>
  </si>
  <si>
    <t xml:space="preserve">• This does not mean the small-cap firm will default — it means the ANNUAL ODDS of default are materially higher, and portfolio/counterparty decisions should be sized accordingly (see Constraints tab for what this model cannot tell you).</t>
  </si>
  <si>
    <t xml:space="preserve">4. NAVIGATION</t>
  </si>
  <si>
    <t xml:space="preserve">→ Data Inputs</t>
  </si>
  <si>
    <t xml:space="preserve">Raw market data gathered via web search, with sources and dates cited.</t>
  </si>
  <si>
    <t xml:space="preserve">→ Model - PD Estimation</t>
  </si>
  <si>
    <t xml:space="preserve">Converts credit inputs into a 1-year PD for each firm using a structural + market-implied approach.</t>
  </si>
  <si>
    <t xml:space="preserve">→ Hypothesis Test</t>
  </si>
  <si>
    <t xml:space="preserve">Two-sample Z-test on proportions: is the PD gap statistically significant?</t>
  </si>
  <si>
    <t xml:space="preserve">→ Normal Distribution Charts</t>
  </si>
  <si>
    <t xml:space="preserve">Visual, bell-curve illustration of default-risk spread for both firms.</t>
  </si>
  <si>
    <t xml:space="preserve">→ Constraints &amp; Limitations</t>
  </si>
  <si>
    <t xml:space="preserve">What this model assumes, what it ignores, and how to read it responsibly.</t>
  </si>
  <si>
    <t xml:space="preserve">Data Inputs — Sourced Market &amp; Credit Data</t>
  </si>
  <si>
    <t xml:space="preserve">All figures gathered via live web search, July 2026. Blue = hardcoded input. See Source column for citation.</t>
  </si>
  <si>
    <t xml:space="preserve">A. CREDIT RATINGS</t>
  </si>
  <si>
    <t xml:space="preserve">Metric</t>
  </si>
  <si>
    <t xml:space="preserve">Microsoft (MSFT)</t>
  </si>
  <si>
    <t xml:space="preserve">New Small-Cap Issuer</t>
  </si>
  <si>
    <t xml:space="preserve">Source / Notes</t>
  </si>
  <si>
    <t xml:space="preserve">S&amp;P Long-Term Issuer Rating</t>
  </si>
  <si>
    <t xml:space="preserve">AAA</t>
  </si>
  <si>
    <t xml:space="preserve">B / B-</t>
  </si>
  <si>
    <t xml:space="preserve">Microsoft: S&amp;P Global Ratings (2026), confirmed AAA. New issuer: illustrative speculative-grade profile calibrated to Russell 2000 / high-yield universe medians (S&amp;P 2024 Global Corporate Default Study, pub. Mar 2025).</t>
  </si>
  <si>
    <t xml:space="preserve">Moody's Long-Term Issuer Rating</t>
  </si>
  <si>
    <t xml:space="preserve">Aaa</t>
  </si>
  <si>
    <t xml:space="preserve">B2 / B3</t>
  </si>
  <si>
    <t xml:space="preserve">Microsoft: Moody's Investors Service, current rating per Microsoft Investor Relations FAQ (2026). New issuer: illustrative, equivalent notch to S&amp;P B/B-.</t>
  </si>
  <si>
    <t xml:space="preserve">Rating Outlook</t>
  </si>
  <si>
    <t xml:space="preserve">Stable</t>
  </si>
  <si>
    <t xml:space="preserve">Stable/Negative</t>
  </si>
  <si>
    <t xml:space="preserve">Fitch assigned Microsoft AAA in April 2023 — the only blue-chip company rated AAA by all three major agencies (S&amp;P, Moody's, Fitch) per ETHENEA Insights (2026).</t>
  </si>
  <si>
    <t xml:space="preserve">B. MARKET-IMPLIED CREDIT SPREAD</t>
  </si>
  <si>
    <t xml:space="preserve">Credit Spread over Treasury (bps)</t>
  </si>
  <si>
    <t xml:space="preserve">Microsoft: ~6bps over comparable UST, per Henssler Financial (Mar 2026) — 2029 MSFT bond vs UST spread. New issuer: illustrative mid-point for B/B- rated high-yield issuers; ICE BofA CCC &amp; Lower HY Index context via FRED (BAMLH0A3HYCEY, accessed Jul 2026) shows CCC-and-below yields running materially above IG.</t>
  </si>
  <si>
    <t xml:space="preserve">All-in Bond Yield (approx.)</t>
  </si>
  <si>
    <t xml:space="preserve">5.11%</t>
  </si>
  <si>
    <t xml:space="preserve">10.5%</t>
  </si>
  <si>
    <t xml:space="preserve">Microsoft: 2040 MSFT bond ~5.11%, matching 2040 UST yield per Henssler Financial (Mar 2026). New issuer: illustrative B/B- high-yield issuer coupon range.</t>
  </si>
  <si>
    <t xml:space="preserve">C. LEVERAGE &amp; COVERAGE METRICS</t>
  </si>
  <si>
    <t xml:space="preserve">Net Debt / EBITDA (x)</t>
  </si>
  <si>
    <t xml:space="preserve">Microsoft: FY2025 10-K based estimate, low leverage megacap tech profile (Debt-to-Equity by Industry, Eqvista 2026, notes System &amp; Application Software sector debt/capital ~5.3%). New issuer: illustrative, in line with U.S. middle-market/small-cap leveraged issuer medians (~3.2x-4.8x per ESOP 2026 Outlook, PCE, Jan 2026).</t>
  </si>
  <si>
    <t xml:space="preserve">EBITDA Interest Coverage (x)</t>
  </si>
  <si>
    <t xml:space="preserve">Microsoft: very high coverage consistent with AAA-rated minimal-leverage profile. New issuer: illustrative for a B/B- issuer near the institutional 'aversion' threshold flagged in AllianceBernstein Corporate Credit Outlook (2025) — issuers below ~2x coverage face materially elevated distress risk.</t>
  </si>
  <si>
    <t xml:space="preserve">Revenue Growth (YoY)</t>
  </si>
  <si>
    <t xml:space="preserve">12%</t>
  </si>
  <si>
    <t xml:space="preserve">18%</t>
  </si>
  <si>
    <t xml:space="preserve">Illustrative — small-cap/recent-IPO issuers often show high top-line growth alongside weaker balance-sheet resilience (Small-Cap vs Large-Cap, SmallCap Scanner, Feb 2026).</t>
  </si>
  <si>
    <t xml:space="preserve">Years as Public Company</t>
  </si>
  <si>
    <t xml:space="preserve">Microsoft: IPO 1986. New issuer: illustrative recent-IPO profile (listed within last ~18 months), consistent with 2024-2025 IPO cohort discussed in SEC filings reviewed (e.g., OptimizeRx 8-K, B. Riley 8-K, May-Jun 2026).</t>
  </si>
  <si>
    <t xml:space="preserve">D. HISTORICAL DEFAULT RATE BENCHMARKS (S&amp;P Global Ratings Study)</t>
  </si>
  <si>
    <t xml:space="preserve">1-Year Historical Default Rate by Rating</t>
  </si>
  <si>
    <t xml:space="preserve">S&amp;P Global Ratings 2024 Annual Global Corporate Default and Rating Transition Study (pub. Mar 2025): investment-grade (AAA-BBB) default rates are very low (near-zero for AAA); roughly three-quarters of all 2024 defaulters were rated CCC/C at the START of the year, and the jump from BB to B nearly doubles the 10-year cumulative default rate. Small-cap value shown is the midpoint of the cited 3.0%-4.0% B-tier range.</t>
  </si>
  <si>
    <t xml:space="preserve">10-Year Cumulative Default Rate</t>
  </si>
  <si>
    <t xml:space="preserve">4.4%</t>
  </si>
  <si>
    <t xml:space="preserve">~30%+ (B-tier)</t>
  </si>
  <si>
    <t xml:space="preserve">S&amp;P Global Ratings 2024 Annual Global Corporate Default Study: ~4.40% cumulative 10-yr default rate even at the BBB floor for investment grade; B-tier cumulative default rates are materially higher, consistent with the sharp BB→B→CCC step-up described in the same study.</t>
  </si>
  <si>
    <t xml:space="preserve">Current HY Market Backdrop</t>
  </si>
  <si>
    <t xml:space="preserve">n/a</t>
  </si>
  <si>
    <t xml:space="preserve">4%-5% (12-18mo fwd)</t>
  </si>
  <si>
    <t xml:space="preserve">AllianceBernstein Corporate Credit Outlook (2025): expected moderate high-yield default rate of ~4%-5% over the next 12-18 months, with CCC-rated and cyclical credits most vulnerable.</t>
  </si>
  <si>
    <t xml:space="preserve">NOTE ON THE COMPARATOR FIRM: No single newly-IPO'd company's confidential financials were available via public search in a form suitable for direct board-level disclosure. The 'New Small-Cap Issuer' therefore uses an ILLUSTRATIVE BUT REALISTIC profile, calibrated to publicly reported 2025-2026 market medians for B/B- rated, recently-listed U.S. small-cap issuers (leverage, coverage, spreads, and default-rate benchmarks all sourced above). This keeps every assumption defensible and traceable while avoiding misattribution to any specific real company's non-public data. To make this model fully live, swap in your target counterparty's actual 10-K/10-Q leverage and coverage ratios and its current CDS or bond spread in the blue cells above.</t>
  </si>
  <si>
    <t xml:space="preserve">Probability of Default (PD) Estimation Model</t>
  </si>
  <si>
    <t xml:space="preserve">Method: Market-implied PD (from credit spread) blended with a leverage/coverage-adjusted structural score. Green = link from Data Inputs.</t>
  </si>
  <si>
    <t xml:space="preserve">final_pd_row</t>
  </si>
  <si>
    <t xml:space="preserve">STEP 1 — MARKET-IMPLIED PD (from credit spread, hazard-rate approach)</t>
  </si>
  <si>
    <t xml:space="preserve">Step</t>
  </si>
  <si>
    <t xml:space="preserve">Assumed Loss Given Default (LGD)</t>
  </si>
  <si>
    <t xml:space="preserve">Standard market convention for senior unsecured corporate debt (~40% recovery rate).</t>
  </si>
  <si>
    <t xml:space="preserve">Market-Implied Hazard Rate (annual)</t>
  </si>
  <si>
    <t xml:space="preserve">Simplified credit-triangle relationship: Spread ≈ PD × LGD, so PD ≈ Spread / LGD. Standard market-implied default intensity approach used by credit desks.</t>
  </si>
  <si>
    <t xml:space="preserve">Market-Implied 1-Yr PD</t>
  </si>
  <si>
    <t xml:space="preserve">Converts hazard rate to a proper probability using the standard survival-function formula PD = 1 - e^(-h).</t>
  </si>
  <si>
    <t xml:space="preserve">STEP 2 — STRUCTURAL SCORE (Altman/Merton-style leverage &amp; coverage adjustment)</t>
  </si>
  <si>
    <t xml:space="preserve">Years as Public Company (maturity proxy)</t>
  </si>
  <si>
    <t xml:space="preserve">Structural Distress Score (0=safest, 1=riskiest)</t>
  </si>
  <si>
    <t xml:space="preserve">Weighted composite (illustrative weights): 35% leverage intensity + 45% inverse interest coverage + 20% inverse company maturity. Captures the qualitative logic of Altman Z-Score / Merton distance-to-default models without requiring equity volatility data.</t>
  </si>
  <si>
    <t xml:space="preserve">Structural-Implied 1-Yr PD (scaled)</t>
  </si>
  <si>
    <t xml:space="preserve">Distress score scaled to a 0%-2% PD range, calibrated so a maximally distressed score (1.0) implies ~2% annual PD — consistent with observed B/CCC-tier base rates.</t>
  </si>
  <si>
    <t xml:space="preserve">STEP 3 — BLENDED 1-YEAR PD (final estimate used in hypothesis test)</t>
  </si>
  <si>
    <t xml:space="preserve">Market-Implied PD (60% weight)</t>
  </si>
  <si>
    <t xml:space="preserve">Structural-Implied PD (40% weight)</t>
  </si>
  <si>
    <t xml:space="preserve">BLENDED 1-YEAR PROBABILITY OF DEFAULT</t>
  </si>
  <si>
    <t xml:space="preserve">Final PD estimate. Market spreads react fast to sentiment; structural ratios are slower but more fundamental — blending balances responsiveness against noise.</t>
  </si>
  <si>
    <t xml:space="preserve">STEP 4 — CROSS-CHECK AGAINST S&amp;P HISTORICAL DEFAULT-RATE BENCHMARKS</t>
  </si>
  <si>
    <t xml:space="preserve">S&amp;P Historical 1-Yr Default Rate (rating-band benchmark)</t>
  </si>
  <si>
    <t xml:space="preserve">Model vs. Benchmark Check</t>
  </si>
  <si>
    <t xml:space="preserve">Sanity check confirming the model's blended PD is broadly consistent with the historical default-rate benchmark for each firm's rating tier.</t>
  </si>
  <si>
    <t xml:space="preserve">Hypothesis Test — Two-Sample Z-Test on Default Proportions</t>
  </si>
  <si>
    <t xml:space="preserve">Tests whether the difference in estimated 1-year PD between the two firms is statistically significant, not due to chance/model noise.</t>
  </si>
  <si>
    <t xml:space="preserve">STEP 1 — HYPOTHESES</t>
  </si>
  <si>
    <t xml:space="preserve">H0 (Null): PD(New Issuer) = PD(Microsoft)  —  the default-risk difference is NOT statistically real</t>
  </si>
  <si>
    <t xml:space="preserve">H1 (Alternative): PD(New Issuer) &gt; PD(Microsoft)  —  the new issuer has a genuinely higher default risk (one-tailed test)</t>
  </si>
  <si>
    <t xml:space="preserve">Significance level (alpha)</t>
  </si>
  <si>
    <t xml:space="preserve">Standard 5% significance threshold used in credit risk and financial hypothesis testing.</t>
  </si>
  <si>
    <t xml:space="preserve">STEP 2 — SAMPLE INPUTS</t>
  </si>
  <si>
    <t xml:space="preserve">Item</t>
  </si>
  <si>
    <t xml:space="preserve">Estimated 1-Yr PD (p-hat)</t>
  </si>
  <si>
    <t xml:space="preserve">Reference Portfolio / Cohort Size (n)</t>
  </si>
  <si>
    <t xml:space="preserve">Illustrative issuer-cohort sizes: n(MSFT) proxies the large-cap AAA/Aaa universe tracked in S&amp;P's default studies; n(New Issuer) proxies the smaller B/B- rated cohort. Larger n increases statistical confidence in the estimate.</t>
  </si>
  <si>
    <t xml:space="preserve">Expected Defaults in Cohort (p × n)</t>
  </si>
  <si>
    <t xml:space="preserve">Sanity check: np and n(1-p) should both exceed ~5 for the normal approximation underlying the Z-test to hold reasonably well.</t>
  </si>
  <si>
    <t xml:space="preserve">STEP 3 — TWO-SAMPLE Z-TEST ON PROPORTIONS</t>
  </si>
  <si>
    <t xml:space="preserve">Value</t>
  </si>
  <si>
    <t xml:space="preserve">Pooled proportion (p_pool)</t>
  </si>
  <si>
    <t xml:space="preserve">Weighted-average default rate across both cohorts combined, used to estimate the standard error under H0.</t>
  </si>
  <si>
    <t xml:space="preserve">Standard Error of the difference (SE)</t>
  </si>
  <si>
    <t xml:space="preserve">Observed difference in PD (p2 - p1)</t>
  </si>
  <si>
    <t xml:space="preserve">Z-statistic</t>
  </si>
  <si>
    <t xml:space="preserve">Z = (p2 - p1) / SE.  A larger Z means the observed gap is many standard errors wide — very unlikely to be random noise.</t>
  </si>
  <si>
    <t xml:space="preserve">Critical Z-value (one-tailed, alpha=5%)</t>
  </si>
  <si>
    <t xml:space="preserve">Standard normal critical value: if Z-statistic exceeds this, we reject H0 at the 5% significance level.</t>
  </si>
  <si>
    <t xml:space="preserve">p-value (one-tailed)</t>
  </si>
  <si>
    <t xml:space="preserve">Probability of observing a PD gap this large (or larger) if the two firms actually had the SAME default risk. An extremely small p-value is strong evidence against the null hypothesis.</t>
  </si>
  <si>
    <t xml:space="preserve">STEP 4 — CONCLUSION</t>
  </si>
  <si>
    <t xml:space="preserve">Statistically Significant at 5%?</t>
  </si>
  <si>
    <t xml:space="preserve">Confidence Level of Finding</t>
  </si>
  <si>
    <t xml:space="preserve">Normal Distribution of Default Risk — Visual Comparison</t>
  </si>
  <si>
    <t xml:space="preserve">Each curve represents the modeled distribution of possible credit-loss outcomes for the firm. A curve shifted right and flattened out (wider spread) signals BOTH a higher average default probability AND more uncertainty about the outcome — exactly the pattern seen for the small-cap issuer versus Microsoft.</t>
  </si>
  <si>
    <t xml:space="preserve">DATA TABLE — Normal Distribution Curves (Distance-to-Default framework)</t>
  </si>
  <si>
    <t xml:space="preserve">x (Standard Deviations from Mean Asset Value)</t>
  </si>
  <si>
    <t xml:space="preserve">Microsoft — PDF</t>
  </si>
  <si>
    <t xml:space="preserve">New Issuer — PDF</t>
  </si>
  <si>
    <t xml:space="preserve">Default Threshold (x = 0): the point at which asset value = liabilities → firm defaults</t>
  </si>
  <si>
    <t xml:space="preserve">Microsoft's curve sits far to the right (mean ≈ 6 standard deviations from default) and is narrow — asset value would have to fall by an extreme, historically unprecedented amount to reach default. The new issuer's curve sits much closer to the default threshold (mean ≈ 2.2 standard deviations) and is wider (more volatile), so a materially larger share of its probability mass overlaps the default zone (x ≤ 0).</t>
  </si>
  <si>
    <t xml:space="preserve">SUPPORTING CHART — 1-Year PD Point Estimates (Bar Comparison)</t>
  </si>
  <si>
    <t xml:space="preserve">Firm</t>
  </si>
  <si>
    <t xml:space="preserve">1-Yr PD</t>
  </si>
  <si>
    <t xml:space="preserve">Microsoft (AAA)</t>
  </si>
  <si>
    <t xml:space="preserve">Model Constraints, Assumptions &amp; Limitations</t>
  </si>
  <si>
    <t xml:space="preserve">Read this before presenting the model's conclusions. Every quantitative model is a simplification — here is exactly where this one simplifies, and why that matters for decision-making.</t>
  </si>
  <si>
    <t xml:space="preserve">1. DATA CONSTRAINTS</t>
  </si>
  <si>
    <t xml:space="preserve">• Comparator firm is illustrative, not a single named company.</t>
  </si>
  <si>
    <t xml:space="preserve">No public source provided full, current, board-disclosable financials for one specific newly-IPO'd firm. The 'New Small-Cap Issuer' profile is calibrated to real 2025-2026 market medians (leverage, coverage, spreads, historical default rates) for B/B- rated small-cap issuers, all cited on the Data Inputs tab. Replace the blue input cells with a specific counterparty's actual 10-K/10-Q figures and live CDS/bond spread to make this a live, name-specific assessment.</t>
  </si>
  <si>
    <t xml:space="preserve">• Market data is a snapshot.</t>
  </si>
  <si>
    <t xml:space="preserve">Credit spreads, ratings, and leverage ratios move continuously. This model reflects data gathered as of early July 2026 and should be refreshed before any capital allocation, credit limit, or counterparty decision is finalized.</t>
  </si>
  <si>
    <t xml:space="preserve">2. METHODOLOGICAL CONSTRAINTS</t>
  </si>
  <si>
    <t xml:space="preserve">• PD is estimated, not observed.</t>
  </si>
  <si>
    <t xml:space="preserve">No model — including this one — can measure a company's true probability of default directly, because default is a rare, forward-looking event. This model blends a market-implied approach (from credit spreads) with a structural approach (from leverage/coverage ratios), which is standard industry practice, but both are proxies, not certainties.</t>
  </si>
  <si>
    <t xml:space="preserve">• The credit-spread-to-PD conversion assumes a constant Loss Given Default (60%).</t>
  </si>
  <si>
    <t xml:space="preserve">Actual recovery rates in default vary significantly by seniority, industry, and economic conditions (historically 20%-80%+). This assumption is a simplification; a more refined analysis would use security-specific or industry-specific recovery assumptions.</t>
  </si>
  <si>
    <t xml:space="preserve">• The structural score is a simplified proxy for Merton/Altman-style models.</t>
  </si>
  <si>
    <t xml:space="preserve">A full Merton distance-to-default model requires equity market volatility and a formal options-pricing framework; a full Altman Z-Score requires additional balance sheet line items (working capital, retained earnings, market value of equity). This model uses a lighter-weight composite of leverage, coverage, and company maturity to approximate the same intuition without requiring that additional data.</t>
  </si>
  <si>
    <t xml:space="preserve">• The model assumes independence and stationarity.</t>
  </si>
  <si>
    <t xml:space="preserve">It does not explicitly model contagion risk (e.g., a systemic shock affecting both firms simultaneously), nor does it capture regime change (e.g., a sudden recession materially worsening the small-cap issuer's position faster than Microsoft's).</t>
  </si>
  <si>
    <t xml:space="preserve">3. STATISTICAL TEST CONSTRAINTS</t>
  </si>
  <si>
    <t xml:space="preserve">• The Z-test on proportions assumes each firm's default behavior can be represented as a large-sample binomial proportion.</t>
  </si>
  <si>
    <t xml:space="preserve">This is a standard, defensible approximation for cohort-level default-rate comparisons (as used in S&amp;P/Moody's default studies), but a single company does not 'default 3% of the time' — it either defaults or it doesn't. The test technically compares the two firms' RATING-COHORT default rates, which is the correct statistical lens for population-level risk comparison, but should not be read as a probabilistic prediction about a single specific outcome.</t>
  </si>
  <si>
    <t xml:space="preserve">• Statistical significance is not the same as certainty.</t>
  </si>
  <si>
    <t xml:space="preserve">A significant Z-test confirms the GAP in modeled default risk is unlikely to be due to chance, given the assumptions above. It does not mean the small-cap firm WILL default, nor does it quantify exactly when a default might occur if one happened.</t>
  </si>
  <si>
    <t xml:space="preserve">• Cohort sample sizes (n) are illustrative.</t>
  </si>
  <si>
    <t xml:space="preserve">The 'reference cohort size' inputs on the Hypothesis Test tab represent typical population sizes used in S&amp;P/Moody's rating-transition studies, not counts of specific named companies. Adjust these if you have access to a specific internal exposure population.</t>
  </si>
  <si>
    <t xml:space="preserve">4. WHAT THIS MODEL DELIBERATELY DOES NOT COVER</t>
  </si>
  <si>
    <t xml:space="preserve">• Idiosyncratic / event risk:</t>
  </si>
  <si>
    <t xml:space="preserve">Fraud, litigation, cyberattack, key-person risk, regulatory action, or M&amp;A activity — none of these are captured by spread- or ratio-based models and require separate qualitative due diligence.</t>
  </si>
  <si>
    <t xml:space="preserve">• Macroeconomic scenario risk:</t>
  </si>
  <si>
    <t xml:space="preserve">This is a point-in-time (unconditional) estimate. It does not stress-test either firm under a specific recession, rate-shock, or sector-downturn scenario. A senior board review should pair this with scenario/stress analysis.</t>
  </si>
  <si>
    <t xml:space="preserve">• Correlation across a portfolio:</t>
  </si>
  <si>
    <t xml:space="preserve">If the board holds exposure to many small-cap issuers simultaneously, their defaults may be correlated (e.g., all suffer in the same downturn). This model treats each firm's PD independently and does not compute portfolio-level tail risk.</t>
  </si>
  <si>
    <t xml:space="preserve">5. HOW THE BOARD SHOULD USE THIS MODEL</t>
  </si>
  <si>
    <t xml:space="preserve">• As directional, decision-support evidence — not a precise forecast.</t>
  </si>
  <si>
    <t xml:space="preserve">Use the ~10-30x higher relative default risk finding to inform risk appetite, collateral requirements, credit limits, and pricing terms for counterparties with a similar profile to the illustrative small-cap issuer. Do not treat the specific decimal PD values as guaranteed forecasts.</t>
  </si>
  <si>
    <t xml:space="preserve">• Refresh before every material decision.</t>
  </si>
  <si>
    <t xml:space="preserve">Re-pull current credit spreads and leverage ratios (Data Inputs tab, blue cells) immediately before using this model to support a specific transaction or exposure decision.</t>
  </si>
</sst>
</file>

<file path=xl/styles.xml><?xml version="1.0" encoding="utf-8"?>
<styleSheet xmlns="http://schemas.openxmlformats.org/spreadsheetml/2006/main">
  <numFmts count="16">
    <numFmt numFmtId="164" formatCode="General"/>
    <numFmt numFmtId="165" formatCode="0.00%"/>
    <numFmt numFmtId="166" formatCode="0"/>
    <numFmt numFmtId="167" formatCode="0.0\x"/>
    <numFmt numFmtId="168" formatCode="0%"/>
    <numFmt numFmtId="169" formatCode="0.0"/>
    <numFmt numFmtId="170" formatCode="0.0%"/>
    <numFmt numFmtId="171" formatCode="0.000%"/>
    <numFmt numFmtId="172" formatCode="0.0000%"/>
    <numFmt numFmtId="173" formatCode="0.000"/>
    <numFmt numFmtId="174" formatCode="#,##0"/>
    <numFmt numFmtId="175" formatCode="0.000000"/>
    <numFmt numFmtId="176" formatCode="0.00"/>
    <numFmt numFmtId="177" formatCode="0.00000000"/>
    <numFmt numFmtId="178" formatCode="0.000000%"/>
    <numFmt numFmtId="179" formatCode="0.0000"/>
  </numFmts>
  <fonts count="36">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FFFFFF"/>
      <name val="Arial"/>
      <family val="0"/>
      <charset val="1"/>
    </font>
    <font>
      <i val="true"/>
      <sz val="9"/>
      <color rgb="FFFFFFFF"/>
      <name val="Arial"/>
      <family val="0"/>
      <charset val="1"/>
    </font>
    <font>
      <b val="true"/>
      <sz val="12"/>
      <color rgb="FFFFFFFF"/>
      <name val="Arial"/>
      <family val="0"/>
      <charset val="1"/>
    </font>
    <font>
      <b val="true"/>
      <sz val="11"/>
      <color rgb="FF1F3864"/>
      <name val="Arial"/>
      <family val="0"/>
      <charset val="1"/>
    </font>
    <font>
      <sz val="10"/>
      <name val="Arial"/>
      <family val="0"/>
      <charset val="1"/>
    </font>
    <font>
      <b val="true"/>
      <sz val="10"/>
      <color rgb="FFFFFFFF"/>
      <name val="Arial"/>
      <family val="0"/>
      <charset val="1"/>
    </font>
    <font>
      <b val="true"/>
      <sz val="20"/>
      <color rgb="FF1F3864"/>
      <name val="Arial"/>
      <family val="0"/>
      <charset val="1"/>
    </font>
    <font>
      <b val="true"/>
      <sz val="20"/>
      <color rgb="FFC00000"/>
      <name val="Arial"/>
      <family val="0"/>
      <charset val="1"/>
    </font>
    <font>
      <i val="true"/>
      <sz val="8"/>
      <color rgb="FF808080"/>
      <name val="Arial"/>
      <family val="0"/>
      <charset val="1"/>
    </font>
    <font>
      <b val="true"/>
      <sz val="12"/>
      <color rgb="FF1F3864"/>
      <name val="Arial"/>
      <family val="0"/>
      <charset val="1"/>
    </font>
    <font>
      <b val="true"/>
      <sz val="11"/>
      <color rgb="FFFFFFFF"/>
      <name val="Arial"/>
      <family val="0"/>
      <charset val="1"/>
    </font>
    <font>
      <b val="true"/>
      <sz val="10"/>
      <color rgb="FF2F5597"/>
      <name val="Arial"/>
      <family val="0"/>
      <charset val="1"/>
    </font>
    <font>
      <i val="true"/>
      <sz val="9"/>
      <name val="Arial"/>
      <family val="0"/>
      <charset val="1"/>
    </font>
    <font>
      <b val="true"/>
      <sz val="10"/>
      <color rgb="FF000000"/>
      <name val="Arial"/>
      <family val="0"/>
      <charset val="1"/>
    </font>
    <font>
      <sz val="10"/>
      <color rgb="FF0000FF"/>
      <name val="Arial"/>
      <family val="0"/>
      <charset val="1"/>
    </font>
    <font>
      <i val="true"/>
      <sz val="9"/>
      <color rgb="FFC00000"/>
      <name val="Arial"/>
      <family val="0"/>
      <charset val="1"/>
    </font>
    <font>
      <sz val="6"/>
      <color rgb="FFFFFFFF"/>
      <name val="Cambria"/>
      <family val="0"/>
      <charset val="1"/>
    </font>
    <font>
      <sz val="10"/>
      <color rgb="FF000000"/>
      <name val="Arial"/>
      <family val="0"/>
      <charset val="1"/>
    </font>
    <font>
      <sz val="10"/>
      <color rgb="FF008000"/>
      <name val="Arial"/>
      <family val="0"/>
      <charset val="1"/>
    </font>
    <font>
      <b val="true"/>
      <sz val="11"/>
      <name val="Arial"/>
      <family val="0"/>
      <charset val="1"/>
    </font>
    <font>
      <b val="true"/>
      <sz val="12"/>
      <color rgb="FF375623"/>
      <name val="Arial"/>
      <family val="0"/>
      <charset val="1"/>
    </font>
    <font>
      <b val="true"/>
      <sz val="12"/>
      <color rgb="FFC00000"/>
      <name val="Arial"/>
      <family val="0"/>
      <charset val="1"/>
    </font>
    <font>
      <b val="true"/>
      <sz val="10"/>
      <color rgb="FF1F3864"/>
      <name val="Arial"/>
      <family val="0"/>
      <charset val="1"/>
    </font>
    <font>
      <b val="true"/>
      <sz val="9"/>
      <name val="Arial"/>
      <family val="0"/>
      <charset val="1"/>
    </font>
    <font>
      <b val="true"/>
      <sz val="9"/>
      <color rgb="FF1F6B3B"/>
      <name val="Arial"/>
      <family val="0"/>
      <charset val="1"/>
    </font>
    <font>
      <b val="true"/>
      <sz val="9"/>
      <color rgb="FFC00000"/>
      <name val="Arial"/>
      <family val="0"/>
      <charset val="1"/>
    </font>
    <font>
      <b val="true"/>
      <sz val="18"/>
      <color rgb="FF000000"/>
      <name val="Calibri"/>
      <family val="2"/>
    </font>
    <font>
      <sz val="10"/>
      <color rgb="FF000000"/>
      <name val="Calibri"/>
      <family val="2"/>
    </font>
    <font>
      <b val="true"/>
      <sz val="10"/>
      <color rgb="FF000000"/>
      <name val="Calibri"/>
      <family val="2"/>
    </font>
    <font>
      <i val="true"/>
      <sz val="9"/>
      <color rgb="FF808080"/>
      <name val="Arial"/>
      <family val="0"/>
      <charset val="1"/>
    </font>
    <font>
      <b val="true"/>
      <sz val="10"/>
      <name val="Arial"/>
      <family val="0"/>
      <charset val="1"/>
    </font>
  </fonts>
  <fills count="9">
    <fill>
      <patternFill patternType="none"/>
    </fill>
    <fill>
      <patternFill patternType="gray125"/>
    </fill>
    <fill>
      <patternFill patternType="solid">
        <fgColor rgb="FF1F3864"/>
        <bgColor rgb="FF2F5597"/>
      </patternFill>
    </fill>
    <fill>
      <patternFill patternType="solid">
        <fgColor rgb="FF2F5597"/>
        <bgColor rgb="FF1F3864"/>
      </patternFill>
    </fill>
    <fill>
      <patternFill patternType="solid">
        <fgColor rgb="FF548235"/>
        <bgColor rgb="FF339966"/>
      </patternFill>
    </fill>
    <fill>
      <patternFill patternType="solid">
        <fgColor rgb="FFC00000"/>
        <bgColor rgb="FF800000"/>
      </patternFill>
    </fill>
    <fill>
      <patternFill patternType="solid">
        <fgColor rgb="FFFFFDE7"/>
        <bgColor rgb="FFFFFFFF"/>
      </patternFill>
    </fill>
    <fill>
      <patternFill patternType="solid">
        <fgColor rgb="FFE2EFDA"/>
        <bgColor rgb="FFFCE4E4"/>
      </patternFill>
    </fill>
    <fill>
      <patternFill patternType="solid">
        <fgColor rgb="FFFCE4E4"/>
        <bgColor rgb="FFE2EFDA"/>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bottom" textRotation="0" wrapText="false" indent="0" shrinkToFit="false"/>
      <protection locked="true" hidden="false"/>
    </xf>
    <xf numFmtId="164" fontId="7" fillId="3" borderId="0" xfId="0" applyFont="true" applyBorder="true" applyAlignment="true" applyProtection="false">
      <alignment horizontal="left" vertical="center" textRotation="0" wrapText="false" indent="1"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4" borderId="0" xfId="0" applyFont="true" applyBorder="true" applyAlignment="true" applyProtection="false">
      <alignment horizontal="center" vertical="bottom" textRotation="0" wrapText="false" indent="0" shrinkToFit="false"/>
      <protection locked="true" hidden="false"/>
    </xf>
    <xf numFmtId="164" fontId="10" fillId="5" borderId="0" xfId="0" applyFont="true" applyBorder="true" applyAlignment="true" applyProtection="false">
      <alignment horizontal="center" vertical="bottom" textRotation="0" wrapText="false" indent="0" shrinkToFit="false"/>
      <protection locked="true" hidden="false"/>
    </xf>
    <xf numFmtId="165" fontId="11" fillId="0" borderId="0" xfId="0" applyFont="true" applyBorder="true" applyAlignment="true" applyProtection="false">
      <alignment horizontal="center" vertical="bottom" textRotation="0" wrapText="false" indent="0" shrinkToFit="false"/>
      <protection locked="true" hidden="false"/>
    </xf>
    <xf numFmtId="165" fontId="12"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true" applyAlignment="true" applyProtection="false">
      <alignment horizontal="center" vertical="bottom" textRotation="0" wrapText="false" indent="0" shrinkToFit="false"/>
      <protection locked="true" hidden="false"/>
    </xf>
    <xf numFmtId="164" fontId="15" fillId="2" borderId="0"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7" fillId="3" borderId="0" xfId="0" applyFont="true" applyBorder="true" applyAlignment="true" applyProtection="false">
      <alignment horizontal="general" vertical="center" textRotation="0" wrapText="false" indent="1" shrinkToFit="false"/>
      <protection locked="true" hidden="false"/>
    </xf>
    <xf numFmtId="164" fontId="10" fillId="3" borderId="0" xfId="0" applyFont="true" applyBorder="false" applyAlignment="true" applyProtection="false">
      <alignment horizontal="left" vertical="center" textRotation="0" wrapText="false" indent="1" shrinkToFit="false"/>
      <protection locked="true" hidden="false"/>
    </xf>
    <xf numFmtId="164" fontId="10" fillId="3"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6"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center" textRotation="0" wrapText="true" indent="0" shrinkToFit="false"/>
      <protection locked="true" hidden="false"/>
    </xf>
    <xf numFmtId="166" fontId="19" fillId="6" borderId="0" xfId="0" applyFont="true" applyBorder="false" applyAlignment="true" applyProtection="false">
      <alignment horizontal="general" vertical="bottom" textRotation="0" wrapText="false" indent="0" shrinkToFit="false"/>
      <protection locked="true" hidden="false"/>
    </xf>
    <xf numFmtId="165" fontId="19" fillId="6" borderId="0" xfId="0" applyFont="true" applyBorder="false" applyAlignment="true" applyProtection="false">
      <alignment horizontal="general" vertical="bottom" textRotation="0" wrapText="false" indent="0" shrinkToFit="false"/>
      <protection locked="true" hidden="false"/>
    </xf>
    <xf numFmtId="167" fontId="19" fillId="6" borderId="0" xfId="0" applyFont="true" applyBorder="false" applyAlignment="true" applyProtection="false">
      <alignment horizontal="general" vertical="bottom" textRotation="0" wrapText="false" indent="0" shrinkToFit="false"/>
      <protection locked="true" hidden="false"/>
    </xf>
    <xf numFmtId="168" fontId="19" fillId="6" borderId="0" xfId="0" applyFont="true" applyBorder="false" applyAlignment="true" applyProtection="false">
      <alignment horizontal="general" vertical="bottom" textRotation="0" wrapText="false" indent="0" shrinkToFit="false"/>
      <protection locked="true" hidden="false"/>
    </xf>
    <xf numFmtId="169" fontId="19" fillId="6" borderId="0" xfId="0" applyFont="true" applyBorder="false" applyAlignment="true" applyProtection="false">
      <alignment horizontal="general" vertical="bottom" textRotation="0" wrapText="false" indent="0" shrinkToFit="false"/>
      <protection locked="true" hidden="false"/>
    </xf>
    <xf numFmtId="170" fontId="19" fillId="6"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6" fontId="23" fillId="0" borderId="0" xfId="0" applyFont="true" applyBorder="false" applyAlignment="tru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general" vertical="bottom" textRotation="0" wrapText="false" indent="0" shrinkToFit="false"/>
      <protection locked="true" hidden="false"/>
    </xf>
    <xf numFmtId="171" fontId="22" fillId="0" borderId="0" xfId="0" applyFont="true" applyBorder="false" applyAlignment="true" applyProtection="false">
      <alignment horizontal="general" vertical="bottom" textRotation="0" wrapText="false" indent="0" shrinkToFit="false"/>
      <protection locked="true" hidden="false"/>
    </xf>
    <xf numFmtId="165" fontId="22" fillId="0" borderId="0" xfId="0" applyFont="true" applyBorder="false" applyAlignment="true" applyProtection="false">
      <alignment horizontal="general" vertical="bottom" textRotation="0" wrapText="false" indent="0" shrinkToFit="false"/>
      <protection locked="true" hidden="false"/>
    </xf>
    <xf numFmtId="172" fontId="18" fillId="0" borderId="0" xfId="0" applyFont="true" applyBorder="false" applyAlignment="true" applyProtection="false">
      <alignment horizontal="general" vertical="bottom" textRotation="0" wrapText="false" indent="0" shrinkToFit="false"/>
      <protection locked="true" hidden="false"/>
    </xf>
    <xf numFmtId="165" fontId="18" fillId="0" borderId="0" xfId="0" applyFont="true" applyBorder="false" applyAlignment="true" applyProtection="false">
      <alignment horizontal="general" vertical="bottom" textRotation="0" wrapText="false" indent="0" shrinkToFit="false"/>
      <protection locked="true" hidden="false"/>
    </xf>
    <xf numFmtId="167" fontId="23" fillId="0" borderId="0" xfId="0" applyFont="true" applyBorder="false" applyAlignment="true" applyProtection="false">
      <alignment horizontal="general" vertical="bottom" textRotation="0" wrapText="false" indent="0" shrinkToFit="false"/>
      <protection locked="true" hidden="false"/>
    </xf>
    <xf numFmtId="169" fontId="23" fillId="0" borderId="0" xfId="0" applyFont="true" applyBorder="false" applyAlignment="true" applyProtection="false">
      <alignment horizontal="general" vertical="bottom" textRotation="0" wrapText="false" indent="0" shrinkToFit="false"/>
      <protection locked="true" hidden="false"/>
    </xf>
    <xf numFmtId="173" fontId="18" fillId="0" borderId="0" xfId="0" applyFont="true" applyBorder="false" applyAlignment="true" applyProtection="false">
      <alignment horizontal="general" vertical="bottom" textRotation="0" wrapText="false" indent="0" shrinkToFit="false"/>
      <protection locked="true" hidden="false"/>
    </xf>
    <xf numFmtId="172" fontId="22"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72" fontId="25" fillId="7" borderId="0" xfId="0" applyFont="true" applyBorder="false" applyAlignment="true" applyProtection="false">
      <alignment horizontal="general" vertical="bottom" textRotation="0" wrapText="false" indent="0" shrinkToFit="false"/>
      <protection locked="true" hidden="false"/>
    </xf>
    <xf numFmtId="165" fontId="26" fillId="8" borderId="0" xfId="0" applyFont="true" applyBorder="false" applyAlignment="true" applyProtection="false">
      <alignment horizontal="general" vertical="bottom" textRotation="0" wrapText="false" indent="0" shrinkToFit="false"/>
      <protection locked="true" hidden="false"/>
    </xf>
    <xf numFmtId="165" fontId="23" fillId="0" borderId="0" xfId="0" applyFont="true" applyBorder="false" applyAlignment="true" applyProtection="false">
      <alignment horizontal="general" vertical="bottom" textRotation="0" wrapText="false" indent="0" shrinkToFit="false"/>
      <protection locked="true" hidden="false"/>
    </xf>
    <xf numFmtId="170" fontId="23"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true" applyAlignment="true" applyProtection="false">
      <alignment horizontal="general" vertical="bottom" textRotation="0" wrapText="false" indent="0" shrinkToFit="false"/>
      <protection locked="true" hidden="false"/>
    </xf>
    <xf numFmtId="172" fontId="23" fillId="0" borderId="0" xfId="0" applyFont="true" applyBorder="false" applyAlignment="true" applyProtection="false">
      <alignment horizontal="general" vertical="bottom" textRotation="0" wrapText="false" indent="0" shrinkToFit="false"/>
      <protection locked="true" hidden="false"/>
    </xf>
    <xf numFmtId="174" fontId="22" fillId="0" borderId="0" xfId="0" applyFont="true" applyBorder="false" applyAlignment="true" applyProtection="false">
      <alignment horizontal="general" vertical="bottom" textRotation="0" wrapText="false" indent="0" shrinkToFit="false"/>
      <protection locked="true" hidden="false"/>
    </xf>
    <xf numFmtId="169" fontId="22" fillId="0" borderId="0" xfId="0" applyFont="true" applyBorder="false" applyAlignment="true" applyProtection="false">
      <alignment horizontal="general" vertical="bottom" textRotation="0" wrapText="false" indent="0" shrinkToFit="false"/>
      <protection locked="true" hidden="false"/>
    </xf>
    <xf numFmtId="175" fontId="22" fillId="0" borderId="0" xfId="0" applyFont="true" applyBorder="false" applyAlignment="true" applyProtection="false">
      <alignment horizontal="general" vertical="bottom" textRotation="0" wrapText="false" indent="0" shrinkToFit="false"/>
      <protection locked="true" hidden="false"/>
    </xf>
    <xf numFmtId="176" fontId="18" fillId="0" borderId="0" xfId="0" applyFont="true" applyBorder="false" applyAlignment="true" applyProtection="false">
      <alignment horizontal="general" vertical="bottom" textRotation="0" wrapText="false" indent="0" shrinkToFit="false"/>
      <protection locked="true" hidden="false"/>
    </xf>
    <xf numFmtId="173" fontId="22" fillId="0" borderId="0" xfId="0" applyFont="true" applyBorder="false" applyAlignment="true" applyProtection="false">
      <alignment horizontal="general" vertical="bottom" textRotation="0" wrapText="false" indent="0" shrinkToFit="false"/>
      <protection locked="true" hidden="false"/>
    </xf>
    <xf numFmtId="177" fontId="18" fillId="0" borderId="0" xfId="0" applyFont="true" applyBorder="false" applyAlignment="true" applyProtection="false">
      <alignment horizontal="general" vertical="bottom" textRotation="0" wrapText="false" indent="0" shrinkToFit="false"/>
      <protection locked="true" hidden="false"/>
    </xf>
    <xf numFmtId="178" fontId="22" fillId="0"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true" applyProtection="false">
      <alignment horizontal="general" vertical="bottom" textRotation="0" wrapText="tru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34" fillId="0" borderId="0" xfId="0" applyFont="true" applyBorder="true" applyAlignment="true" applyProtection="false">
      <alignment horizontal="general" vertical="bottom" textRotation="0" wrapText="true" indent="0" shrinkToFit="false"/>
      <protection locked="true" hidden="false"/>
    </xf>
    <xf numFmtId="164" fontId="35" fillId="0" borderId="0"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1F6B3B"/>
      <rgbColor rgb="FFC0C0C0"/>
      <rgbColor rgb="FF808080"/>
      <rgbColor rgb="FF9999FF"/>
      <rgbColor rgb="FF993366"/>
      <rgbColor rgb="FFFFFDE7"/>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666699"/>
      <rgbColor rgb="FF878787"/>
      <rgbColor rgb="FF1F3864"/>
      <rgbColor rgb="FF339966"/>
      <rgbColor rgb="FF003300"/>
      <rgbColor rgb="FF333300"/>
      <rgbColor rgb="FF993300"/>
      <rgbColor rgb="FF993366"/>
      <rgbColor rgb="FF2F5597"/>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Distance-to-Default: Distribution of Asset Value Outcomes</a:t>
            </a:r>
          </a:p>
        </c:rich>
      </c:tx>
      <c:overlay val="0"/>
      <c:spPr>
        <a:noFill/>
        <a:ln w="0">
          <a:noFill/>
        </a:ln>
      </c:spPr>
    </c:title>
    <c:autoTitleDeleted val="0"/>
    <c:plotArea>
      <c:lineChart>
        <c:grouping val="standard"/>
        <c:varyColors val="0"/>
        <c:ser>
          <c:idx val="0"/>
          <c:order val="0"/>
          <c:tx>
            <c:strRef>
              <c:f>'Normal Distribution Charts'!C9</c:f>
              <c:strCache>
                <c:ptCount val="1"/>
                <c:pt idx="0">
                  <c:v>Microsoft — PDF</c:v>
                </c:pt>
              </c:strCache>
            </c:strRef>
          </c:tx>
          <c:spPr>
            <a:solidFill>
              <a:srgbClr val="1f6b3b"/>
            </a:solidFill>
            <a:ln w="28080">
              <a:solidFill>
                <a:srgbClr val="1f6b3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'Normal Distribution Charts'!$B$10:$B$50</c:f>
              <c:strCache>
                <c:ptCount val="41"/>
                <c:pt idx="0">
                  <c:v>-2.0</c:v>
                </c:pt>
                <c:pt idx="1">
                  <c:v>-1.6</c:v>
                </c:pt>
                <c:pt idx="2">
                  <c:v>-1.2</c:v>
                </c:pt>
                <c:pt idx="3">
                  <c:v>-0.8</c:v>
                </c:pt>
                <c:pt idx="4">
                  <c:v>-0.4</c:v>
                </c:pt>
                <c:pt idx="5">
                  <c:v>0.0</c:v>
                </c:pt>
                <c:pt idx="6">
                  <c:v>0.4</c:v>
                </c:pt>
                <c:pt idx="7">
                  <c:v>0.8</c:v>
                </c:pt>
                <c:pt idx="8">
                  <c:v>1.2</c:v>
                </c:pt>
                <c:pt idx="9">
                  <c:v>1.6</c:v>
                </c:pt>
                <c:pt idx="10">
                  <c:v>2.0</c:v>
                </c:pt>
                <c:pt idx="11">
                  <c:v>2.4</c:v>
                </c:pt>
                <c:pt idx="12">
                  <c:v>2.8</c:v>
                </c:pt>
                <c:pt idx="13">
                  <c:v>3.2</c:v>
                </c:pt>
                <c:pt idx="14">
                  <c:v>3.6</c:v>
                </c:pt>
                <c:pt idx="15">
                  <c:v>4.0</c:v>
                </c:pt>
                <c:pt idx="16">
                  <c:v>4.4</c:v>
                </c:pt>
                <c:pt idx="17">
                  <c:v>4.8</c:v>
                </c:pt>
                <c:pt idx="18">
                  <c:v>5.2</c:v>
                </c:pt>
                <c:pt idx="19">
                  <c:v>5.6</c:v>
                </c:pt>
                <c:pt idx="20">
                  <c:v>6.0</c:v>
                </c:pt>
                <c:pt idx="21">
                  <c:v>6.4</c:v>
                </c:pt>
                <c:pt idx="22">
                  <c:v>6.8</c:v>
                </c:pt>
                <c:pt idx="23">
                  <c:v>7.2</c:v>
                </c:pt>
                <c:pt idx="24">
                  <c:v>7.6</c:v>
                </c:pt>
                <c:pt idx="25">
                  <c:v>8.0</c:v>
                </c:pt>
                <c:pt idx="26">
                  <c:v>8.4</c:v>
                </c:pt>
                <c:pt idx="27">
                  <c:v>8.8</c:v>
                </c:pt>
                <c:pt idx="28">
                  <c:v>9.2</c:v>
                </c:pt>
                <c:pt idx="29">
                  <c:v>9.6</c:v>
                </c:pt>
                <c:pt idx="30">
                  <c:v>10.0</c:v>
                </c:pt>
                <c:pt idx="31">
                  <c:v>10.4</c:v>
                </c:pt>
                <c:pt idx="32">
                  <c:v>10.8</c:v>
                </c:pt>
                <c:pt idx="33">
                  <c:v>11.2</c:v>
                </c:pt>
                <c:pt idx="34">
                  <c:v>11.6</c:v>
                </c:pt>
                <c:pt idx="35">
                  <c:v>12.0</c:v>
                </c:pt>
                <c:pt idx="36">
                  <c:v>12.4</c:v>
                </c:pt>
                <c:pt idx="37">
                  <c:v>12.8</c:v>
                </c:pt>
                <c:pt idx="38">
                  <c:v>13.2</c:v>
                </c:pt>
                <c:pt idx="39">
                  <c:v>13.6</c:v>
                </c:pt>
                <c:pt idx="40">
                  <c:v>14.0</c:v>
                </c:pt>
              </c:strCache>
            </c:strRef>
          </c:cat>
          <c:val>
            <c:numRef>
              <c:f>'Normal Distribution Charts'!$C$10:$C$50</c:f>
              <c:numCache>
                <c:formatCode>0.0000</c:formatCode>
                <c:ptCount val="41"/>
                <c:pt idx="0">
                  <c:v>5.05227108353689E-015</c:v>
                </c:pt>
                <c:pt idx="1">
                  <c:v>1.14415649018014E-013</c:v>
                </c:pt>
                <c:pt idx="2">
                  <c:v>2.20798996313714E-012</c:v>
                </c:pt>
                <c:pt idx="3">
                  <c:v>3.6309615017918E-011</c:v>
                </c:pt>
                <c:pt idx="4">
                  <c:v>5.08814028164504E-010</c:v>
                </c:pt>
                <c:pt idx="5">
                  <c:v>6.07588284982329E-009</c:v>
                </c:pt>
                <c:pt idx="6">
                  <c:v>6.18262050016586E-008</c:v>
                </c:pt>
                <c:pt idx="7">
                  <c:v>5.36103534469762E-007</c:v>
                </c:pt>
                <c:pt idx="8">
                  <c:v>3.96129909103208E-006</c:v>
                </c:pt>
                <c:pt idx="9">
                  <c:v>2.49424712900535E-005</c:v>
                </c:pt>
                <c:pt idx="10">
                  <c:v>0.000133830225764885</c:v>
                </c:pt>
                <c:pt idx="11">
                  <c:v>0.000611901930113772</c:v>
                </c:pt>
                <c:pt idx="12">
                  <c:v>0.00238408820146484</c:v>
                </c:pt>
                <c:pt idx="13">
                  <c:v>0.00791545158297997</c:v>
                </c:pt>
                <c:pt idx="14">
                  <c:v>0.0223945302948429</c:v>
                </c:pt>
                <c:pt idx="15">
                  <c:v>0.0539909665131881</c:v>
                </c:pt>
                <c:pt idx="16">
                  <c:v>0.110920834679456</c:v>
                </c:pt>
                <c:pt idx="17">
                  <c:v>0.194186054983213</c:v>
                </c:pt>
                <c:pt idx="18">
                  <c:v>0.289691552761483</c:v>
                </c:pt>
                <c:pt idx="19">
                  <c:v>0.368270140303323</c:v>
                </c:pt>
                <c:pt idx="20">
                  <c:v>0.398942280401433</c:v>
                </c:pt>
                <c:pt idx="21">
                  <c:v>0.368270140303323</c:v>
                </c:pt>
                <c:pt idx="22">
                  <c:v>0.289691552761483</c:v>
                </c:pt>
                <c:pt idx="23">
                  <c:v>0.194186054983213</c:v>
                </c:pt>
                <c:pt idx="24">
                  <c:v>0.110920834679456</c:v>
                </c:pt>
                <c:pt idx="25">
                  <c:v>0.0539909665131881</c:v>
                </c:pt>
                <c:pt idx="26">
                  <c:v>0.0223945302948429</c:v>
                </c:pt>
                <c:pt idx="27">
                  <c:v>0.00791545158297995</c:v>
                </c:pt>
                <c:pt idx="28">
                  <c:v>0.00238408820146485</c:v>
                </c:pt>
                <c:pt idx="29">
                  <c:v>0.000611901930113773</c:v>
                </c:pt>
                <c:pt idx="30">
                  <c:v>0.000133830225764885</c:v>
                </c:pt>
                <c:pt idx="31">
                  <c:v>2.49424712900535E-005</c:v>
                </c:pt>
                <c:pt idx="32">
                  <c:v>3.96129909103206E-006</c:v>
                </c:pt>
                <c:pt idx="33">
                  <c:v>5.36103534469764E-007</c:v>
                </c:pt>
                <c:pt idx="34">
                  <c:v>6.18262050016586E-008</c:v>
                </c:pt>
                <c:pt idx="35">
                  <c:v>6.07588284982329E-009</c:v>
                </c:pt>
                <c:pt idx="36">
                  <c:v>5.08814028164504E-010</c:v>
                </c:pt>
                <c:pt idx="37">
                  <c:v>3.63096150179178E-011</c:v>
                </c:pt>
                <c:pt idx="38">
                  <c:v>2.20798996313716E-012</c:v>
                </c:pt>
                <c:pt idx="39">
                  <c:v>1.14415649018014E-013</c:v>
                </c:pt>
                <c:pt idx="40">
                  <c:v>5.05227108353689E-015</c:v>
                </c:pt>
              </c:numCache>
            </c:numRef>
          </c:val>
          <c:smooth val="1"/>
        </c:ser>
        <c:ser>
          <c:idx val="1"/>
          <c:order val="1"/>
          <c:tx>
            <c:strRef>
              <c:f>'Normal Distribution Charts'!D9</c:f>
              <c:strCache>
                <c:ptCount val="1"/>
                <c:pt idx="0">
                  <c:v>New Issuer — PDF</c:v>
                </c:pt>
              </c:strCache>
            </c:strRef>
          </c:tx>
          <c:spPr>
            <a:solidFill>
              <a:srgbClr val="c00000"/>
            </a:solidFill>
            <a:ln w="28080">
              <a:solidFill>
                <a:srgbClr val="c0000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'Normal Distribution Charts'!$B$10:$B$50</c:f>
              <c:strCache>
                <c:ptCount val="41"/>
                <c:pt idx="0">
                  <c:v>-2.0</c:v>
                </c:pt>
                <c:pt idx="1">
                  <c:v>-1.6</c:v>
                </c:pt>
                <c:pt idx="2">
                  <c:v>-1.2</c:v>
                </c:pt>
                <c:pt idx="3">
                  <c:v>-0.8</c:v>
                </c:pt>
                <c:pt idx="4">
                  <c:v>-0.4</c:v>
                </c:pt>
                <c:pt idx="5">
                  <c:v>0.0</c:v>
                </c:pt>
                <c:pt idx="6">
                  <c:v>0.4</c:v>
                </c:pt>
                <c:pt idx="7">
                  <c:v>0.8</c:v>
                </c:pt>
                <c:pt idx="8">
                  <c:v>1.2</c:v>
                </c:pt>
                <c:pt idx="9">
                  <c:v>1.6</c:v>
                </c:pt>
                <c:pt idx="10">
                  <c:v>2.0</c:v>
                </c:pt>
                <c:pt idx="11">
                  <c:v>2.4</c:v>
                </c:pt>
                <c:pt idx="12">
                  <c:v>2.8</c:v>
                </c:pt>
                <c:pt idx="13">
                  <c:v>3.2</c:v>
                </c:pt>
                <c:pt idx="14">
                  <c:v>3.6</c:v>
                </c:pt>
                <c:pt idx="15">
                  <c:v>4.0</c:v>
                </c:pt>
                <c:pt idx="16">
                  <c:v>4.4</c:v>
                </c:pt>
                <c:pt idx="17">
                  <c:v>4.8</c:v>
                </c:pt>
                <c:pt idx="18">
                  <c:v>5.2</c:v>
                </c:pt>
                <c:pt idx="19">
                  <c:v>5.6</c:v>
                </c:pt>
                <c:pt idx="20">
                  <c:v>6.0</c:v>
                </c:pt>
                <c:pt idx="21">
                  <c:v>6.4</c:v>
                </c:pt>
                <c:pt idx="22">
                  <c:v>6.8</c:v>
                </c:pt>
                <c:pt idx="23">
                  <c:v>7.2</c:v>
                </c:pt>
                <c:pt idx="24">
                  <c:v>7.6</c:v>
                </c:pt>
                <c:pt idx="25">
                  <c:v>8.0</c:v>
                </c:pt>
                <c:pt idx="26">
                  <c:v>8.4</c:v>
                </c:pt>
                <c:pt idx="27">
                  <c:v>8.8</c:v>
                </c:pt>
                <c:pt idx="28">
                  <c:v>9.2</c:v>
                </c:pt>
                <c:pt idx="29">
                  <c:v>9.6</c:v>
                </c:pt>
                <c:pt idx="30">
                  <c:v>10.0</c:v>
                </c:pt>
                <c:pt idx="31">
                  <c:v>10.4</c:v>
                </c:pt>
                <c:pt idx="32">
                  <c:v>10.8</c:v>
                </c:pt>
                <c:pt idx="33">
                  <c:v>11.2</c:v>
                </c:pt>
                <c:pt idx="34">
                  <c:v>11.6</c:v>
                </c:pt>
                <c:pt idx="35">
                  <c:v>12.0</c:v>
                </c:pt>
                <c:pt idx="36">
                  <c:v>12.4</c:v>
                </c:pt>
                <c:pt idx="37">
                  <c:v>12.8</c:v>
                </c:pt>
                <c:pt idx="38">
                  <c:v>13.2</c:v>
                </c:pt>
                <c:pt idx="39">
                  <c:v>13.6</c:v>
                </c:pt>
                <c:pt idx="40">
                  <c:v>14.0</c:v>
                </c:pt>
              </c:strCache>
            </c:strRef>
          </c:cat>
          <c:val>
            <c:numRef>
              <c:f>'Normal Distribution Charts'!$D$10:$D$50</c:f>
              <c:numCache>
                <c:formatCode>0.0000</c:formatCode>
                <c:ptCount val="41"/>
                <c:pt idx="0">
                  <c:v>0.00795261349801965</c:v>
                </c:pt>
                <c:pt idx="1">
                  <c:v>0.0148574380186961</c:v>
                </c:pt>
                <c:pt idx="2">
                  <c:v>0.0260756157852116</c:v>
                </c:pt>
                <c:pt idx="3">
                  <c:v>0.0429914223916824</c:v>
                </c:pt>
                <c:pt idx="4">
                  <c:v>0.0665864175816157</c:v>
                </c:pt>
                <c:pt idx="5">
                  <c:v>0.0968826659114333</c:v>
                </c:pt>
                <c:pt idx="6">
                  <c:v>0.132422903609812</c:v>
                </c:pt>
                <c:pt idx="7">
                  <c:v>0.17003437398659</c:v>
                </c:pt>
                <c:pt idx="8">
                  <c:v>0.205100605343984</c:v>
                </c:pt>
                <c:pt idx="9">
                  <c:v>0.232409433668606</c:v>
                </c:pt>
                <c:pt idx="10">
                  <c:v>0.247398554340468</c:v>
                </c:pt>
                <c:pt idx="11">
                  <c:v>0.247398554340468</c:v>
                </c:pt>
                <c:pt idx="12">
                  <c:v>0.232409433668606</c:v>
                </c:pt>
                <c:pt idx="13">
                  <c:v>0.205100605343984</c:v>
                </c:pt>
                <c:pt idx="14">
                  <c:v>0.17003437398659</c:v>
                </c:pt>
                <c:pt idx="15">
                  <c:v>0.132422903609812</c:v>
                </c:pt>
                <c:pt idx="16">
                  <c:v>0.0968826659114333</c:v>
                </c:pt>
                <c:pt idx="17">
                  <c:v>0.0665864175816157</c:v>
                </c:pt>
                <c:pt idx="18">
                  <c:v>0.0429914223916824</c:v>
                </c:pt>
                <c:pt idx="19">
                  <c:v>0.0260756157852117</c:v>
                </c:pt>
                <c:pt idx="20">
                  <c:v>0.0148574380186961</c:v>
                </c:pt>
                <c:pt idx="21">
                  <c:v>0.00795261349801965</c:v>
                </c:pt>
                <c:pt idx="22">
                  <c:v>0.00399882519420223</c:v>
                </c:pt>
                <c:pt idx="23">
                  <c:v>0.00188891127199922</c:v>
                </c:pt>
                <c:pt idx="24">
                  <c:v>0.000838199295931488</c:v>
                </c:pt>
                <c:pt idx="25">
                  <c:v>0.000349413451395104</c:v>
                </c:pt>
                <c:pt idx="26">
                  <c:v>0.000136832273602883</c:v>
                </c:pt>
                <c:pt idx="27">
                  <c:v>5.03377803472463E-005</c:v>
                </c:pt>
                <c:pt idx="28">
                  <c:v>1.73962713932594E-005</c:v>
                </c:pt>
                <c:pt idx="29">
                  <c:v>5.64774243065713E-006</c:v>
                </c:pt>
                <c:pt idx="30">
                  <c:v>1.72246412346873E-006</c:v>
                </c:pt>
                <c:pt idx="31">
                  <c:v>4.93494233793377E-007</c:v>
                </c:pt>
                <c:pt idx="32">
                  <c:v>1.32822171144392E-007</c:v>
                </c:pt>
                <c:pt idx="33">
                  <c:v>3.35827040660572E-008</c:v>
                </c:pt>
                <c:pt idx="34">
                  <c:v>7.9765913772103E-009</c:v>
                </c:pt>
                <c:pt idx="35">
                  <c:v>1.77981811143551E-009</c:v>
                </c:pt>
                <c:pt idx="36">
                  <c:v>3.73070143214648E-010</c:v>
                </c:pt>
                <c:pt idx="37">
                  <c:v>7.34618668690638E-011</c:v>
                </c:pt>
                <c:pt idx="38">
                  <c:v>1.35890789732435E-011</c:v>
                </c:pt>
                <c:pt idx="39">
                  <c:v>2.36142784104007E-012</c:v>
                </c:pt>
                <c:pt idx="40">
                  <c:v>3.85492498033629E-013</c:v>
                </c:pt>
              </c:numCache>
            </c:numRef>
          </c:val>
          <c:smooth val="1"/>
        </c:ser>
        <c:hiLowLines>
          <c:spPr>
            <a:ln w="0">
              <a:noFill/>
            </a:ln>
          </c:spPr>
        </c:hiLowLines>
        <c:marker val="0"/>
        <c:axId val="23660511"/>
        <c:axId val="92974677"/>
      </c:lineChart>
      <c:catAx>
        <c:axId val="2366051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Standard Deviations from Mean Asset Value (0 = Default Point)</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974677"/>
        <c:crosses val="autoZero"/>
        <c:auto val="1"/>
        <c:lblAlgn val="ctr"/>
        <c:lblOffset val="100"/>
        <c:noMultiLvlLbl val="0"/>
      </c:catAx>
      <c:valAx>
        <c:axId val="9297467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Probability Density</a:t>
                </a:r>
              </a:p>
            </c:rich>
          </c:tx>
          <c:overlay val="0"/>
          <c:spPr>
            <a:noFill/>
            <a:ln w="0">
              <a:noFill/>
            </a:ln>
          </c:spPr>
        </c:title>
        <c:numFmt formatCode="0.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66051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1-Year Probability of Default — Point Estimate</a:t>
            </a:r>
          </a:p>
        </c:rich>
      </c:tx>
      <c:overlay val="0"/>
      <c:spPr>
        <a:noFill/>
        <a:ln w="0">
          <a:noFill/>
        </a:ln>
      </c:spPr>
    </c:title>
    <c:autoTitleDeleted val="0"/>
    <c:plotArea>
      <c:barChart>
        <c:barDir val="col"/>
        <c:grouping val="clustered"/>
        <c:varyColors val="0"/>
        <c:ser>
          <c:idx val="0"/>
          <c:order val="0"/>
          <c:tx>
            <c:strRef>
              <c:f>'Normal Distribution Charts'!C84</c:f>
              <c:strCache>
                <c:ptCount val="1"/>
                <c:pt idx="0">
                  <c:v>1-Yr PD</c:v>
                </c:pt>
              </c:strCache>
            </c:strRef>
          </c:tx>
          <c:spPr>
            <a:solidFill>
              <a:srgbClr val="2f5597"/>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'Normal Distribution Charts'!$B$85:$B$86</c:f>
              <c:strCache>
                <c:ptCount val="2"/>
                <c:pt idx="0">
                  <c:v>Microsoft (AAA)</c:v>
                </c:pt>
                <c:pt idx="1">
                  <c:v>New Small-Cap Issuer (B/B-)</c:v>
                </c:pt>
              </c:strCache>
            </c:strRef>
          </c:cat>
          <c:val>
            <c:numRef>
              <c:f>'Normal Distribution Charts'!$C$85:$C$86</c:f>
              <c:numCache>
                <c:formatCode>0.0000%</c:formatCode>
                <c:ptCount val="2"/>
                <c:pt idx="0">
                  <c:v>0.00112470009997499</c:v>
                </c:pt>
                <c:pt idx="1">
                  <c:v>0.0468351985254489</c:v>
                </c:pt>
              </c:numCache>
            </c:numRef>
          </c:val>
        </c:ser>
        <c:gapWidth val="150"/>
        <c:overlap val="0"/>
        <c:axId val="58493611"/>
        <c:axId val="48801612"/>
      </c:barChart>
      <c:catAx>
        <c:axId val="5849361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Firm</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801612"/>
        <c:crosses val="autoZero"/>
        <c:auto val="1"/>
        <c:lblAlgn val="ctr"/>
        <c:lblOffset val="100"/>
        <c:noMultiLvlLbl val="0"/>
      </c:catAx>
      <c:valAx>
        <c:axId val="4880161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1-Yr PD</a:t>
                </a:r>
              </a:p>
            </c:rich>
          </c:tx>
          <c:overlay val="0"/>
          <c:spPr>
            <a:noFill/>
            <a:ln w="0">
              <a:noFill/>
            </a:ln>
          </c:spPr>
        </c:title>
        <c:numFmt formatCode="0.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49361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54</xdr:row>
      <xdr:rowOff>0</xdr:rowOff>
    </xdr:from>
    <xdr:to>
      <xdr:col>12</xdr:col>
      <xdr:colOff>109800</xdr:colOff>
      <xdr:row>76</xdr:row>
      <xdr:rowOff>127440</xdr:rowOff>
    </xdr:to>
    <xdr:graphicFrame>
      <xdr:nvGraphicFramePr>
        <xdr:cNvPr id="0" name="Chart 1"/>
        <xdr:cNvGraphicFramePr/>
      </xdr:nvGraphicFramePr>
      <xdr:xfrm>
        <a:off x="211320" y="10829880"/>
        <a:ext cx="8638560" cy="4318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82</xdr:row>
      <xdr:rowOff>0</xdr:rowOff>
    </xdr:from>
    <xdr:to>
      <xdr:col>11</xdr:col>
      <xdr:colOff>386640</xdr:colOff>
      <xdr:row>100</xdr:row>
      <xdr:rowOff>169560</xdr:rowOff>
    </xdr:to>
    <xdr:graphicFrame>
      <xdr:nvGraphicFramePr>
        <xdr:cNvPr id="1" name="Chart 2"/>
        <xdr:cNvGraphicFramePr/>
      </xdr:nvGraphicFramePr>
      <xdr:xfrm>
        <a:off x="3312720" y="16164000"/>
        <a:ext cx="5038560" cy="35985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7" min="3" style="1" width="18"/>
    <col collapsed="false" customWidth="true" hidden="false" outlineLevel="0" max="8" min="8" style="1" width="3"/>
  </cols>
  <sheetData>
    <row r="1" customFormat="false" ht="6" hidden="false" customHeight="true" outlineLevel="0" collapsed="false"/>
    <row r="2" customFormat="false" ht="15" hidden="false" customHeight="true" outlineLevel="0" collapsed="false">
      <c r="B2" s="2" t="s">
        <v>0</v>
      </c>
      <c r="C2" s="2"/>
      <c r="D2" s="2"/>
      <c r="E2" s="2"/>
      <c r="F2" s="2"/>
      <c r="G2" s="2"/>
      <c r="H2" s="2"/>
    </row>
    <row r="3" customFormat="false" ht="19.5" hidden="false" customHeight="true" outlineLevel="0" collapsed="false">
      <c r="B3" s="2"/>
      <c r="C3" s="2"/>
      <c r="D3" s="2"/>
      <c r="E3" s="2"/>
      <c r="F3" s="2"/>
      <c r="G3" s="2"/>
      <c r="H3" s="2"/>
    </row>
    <row r="4" customFormat="false" ht="18" hidden="false" customHeight="true" outlineLevel="0" collapsed="false">
      <c r="B4" s="3" t="s">
        <v>1</v>
      </c>
      <c r="C4" s="3"/>
      <c r="D4" s="3"/>
      <c r="E4" s="3"/>
      <c r="F4" s="3"/>
      <c r="G4" s="3"/>
      <c r="H4" s="3"/>
    </row>
    <row r="5" customFormat="false" ht="15.75" hidden="false" customHeight="true" outlineLevel="0" collapsed="false">
      <c r="B5" s="4" t="s">
        <v>2</v>
      </c>
      <c r="C5" s="4"/>
      <c r="D5" s="4"/>
      <c r="E5" s="4"/>
      <c r="F5" s="4"/>
      <c r="G5" s="4"/>
      <c r="H5" s="4"/>
    </row>
    <row r="7" customFormat="false" ht="15" hidden="false" customHeight="true" outlineLevel="0" collapsed="false">
      <c r="B7" s="5" t="s">
        <v>3</v>
      </c>
      <c r="C7" s="5"/>
      <c r="D7" s="5"/>
      <c r="E7" s="5"/>
      <c r="F7" s="5"/>
      <c r="G7" s="5"/>
      <c r="H7" s="5"/>
    </row>
    <row r="9" customFormat="false" ht="15" hidden="false" customHeight="true" outlineLevel="0" collapsed="false">
      <c r="B9" s="6" t="s">
        <v>4</v>
      </c>
    </row>
    <row r="10" customFormat="false" ht="15" hidden="false" customHeight="true" outlineLevel="0" collapsed="false">
      <c r="B10" s="7" t="s">
        <v>5</v>
      </c>
      <c r="C10" s="7"/>
      <c r="D10" s="7"/>
      <c r="E10" s="7"/>
      <c r="F10" s="7"/>
      <c r="G10" s="7"/>
      <c r="H10" s="7"/>
    </row>
    <row r="11" customFormat="false" ht="15" hidden="false" customHeight="true" outlineLevel="0" collapsed="false">
      <c r="B11" s="7"/>
      <c r="C11" s="7"/>
      <c r="D11" s="7"/>
      <c r="E11" s="7"/>
      <c r="F11" s="7"/>
      <c r="G11" s="7"/>
      <c r="H11" s="7"/>
    </row>
    <row r="12" customFormat="false" ht="15" hidden="false" customHeight="true" outlineLevel="0" collapsed="false">
      <c r="B12" s="7"/>
      <c r="C12" s="7"/>
      <c r="D12" s="7"/>
      <c r="E12" s="7"/>
      <c r="F12" s="7"/>
      <c r="G12" s="7"/>
      <c r="H12" s="7"/>
    </row>
    <row r="13" customFormat="false" ht="15" hidden="false" customHeight="true" outlineLevel="0" collapsed="false">
      <c r="B13" s="7"/>
      <c r="C13" s="7"/>
      <c r="D13" s="7"/>
      <c r="E13" s="7"/>
      <c r="F13" s="7"/>
      <c r="G13" s="7"/>
      <c r="H13" s="7"/>
    </row>
    <row r="15" customFormat="false" ht="15" hidden="false" customHeight="true" outlineLevel="0" collapsed="false">
      <c r="B15" s="6" t="s">
        <v>6</v>
      </c>
    </row>
    <row r="16" customFormat="false" ht="15" hidden="false" customHeight="true" outlineLevel="0" collapsed="false">
      <c r="B16" s="8" t="s">
        <v>7</v>
      </c>
      <c r="C16" s="8"/>
      <c r="D16" s="8"/>
      <c r="E16" s="9" t="s">
        <v>8</v>
      </c>
      <c r="F16" s="9"/>
      <c r="G16" s="9"/>
    </row>
    <row r="17" customFormat="false" ht="30" hidden="false" customHeight="true" outlineLevel="0" collapsed="false">
      <c r="B17" s="10" t="n">
        <f aca="false">'Model - PD Estimation'!C26</f>
        <v>0.00112470009997499</v>
      </c>
      <c r="C17" s="10"/>
      <c r="D17" s="10"/>
      <c r="E17" s="11" t="n">
        <f aca="false">'Model - PD Estimation'!D26</f>
        <v>0.0468351985254489</v>
      </c>
      <c r="F17" s="11"/>
      <c r="G17" s="11"/>
    </row>
    <row r="18" customFormat="false" ht="15" hidden="false" customHeight="true" outlineLevel="0" collapsed="false">
      <c r="B18" s="12" t="s">
        <v>9</v>
      </c>
      <c r="C18" s="12"/>
      <c r="D18" s="12"/>
      <c r="E18" s="12" t="s">
        <v>9</v>
      </c>
      <c r="F18" s="12"/>
      <c r="G18" s="12"/>
    </row>
    <row r="20" customFormat="false" ht="15" hidden="false" customHeight="true" outlineLevel="0" collapsed="false">
      <c r="B20" s="13" t="str">
        <f aca="false">"The small-cap issuer is approximately "&amp;TEXT('Model - PD Estimation'!D26/'Model - PD Estimation'!C26,"0")&amp;"x more likely to default within one year than Microsoft."</f>
        <v>The small-cap issuer is approximately 42x more likely to default within one year than Microsoft.</v>
      </c>
      <c r="C20" s="13"/>
      <c r="D20" s="13"/>
      <c r="E20" s="13"/>
      <c r="F20" s="13"/>
      <c r="G20" s="13"/>
      <c r="H20" s="13"/>
    </row>
    <row r="22" customFormat="false" ht="24" hidden="false" customHeight="true" outlineLevel="0" collapsed="false">
      <c r="B22" s="14" t="str">
        <f aca="false">'Hypothesis Test'!B31</f>
        <v>Statistical conclusion: With Z = 13.45 against a critical value of 1.645 (95% confidence, one-tailed), the test REJECTS the null hypothesis that both firms share the same default risk. The gap in probability of default between the small-cap issuer and Microsoft is statistically significant, not attributable to random variation or model noise.</v>
      </c>
      <c r="C22" s="14"/>
      <c r="D22" s="14"/>
      <c r="E22" s="14"/>
      <c r="F22" s="14"/>
      <c r="G22" s="14"/>
      <c r="H22" s="14"/>
    </row>
    <row r="24" customFormat="false" ht="15" hidden="false" customHeight="true" outlineLevel="0" collapsed="false">
      <c r="B24" s="6" t="s">
        <v>10</v>
      </c>
    </row>
    <row r="25" customFormat="false" ht="27.75" hidden="false" customHeight="true" outlineLevel="0" collapsed="false">
      <c r="B25" s="7" t="s">
        <v>11</v>
      </c>
      <c r="C25" s="7"/>
      <c r="D25" s="7"/>
      <c r="E25" s="7"/>
      <c r="F25" s="7"/>
      <c r="G25" s="7"/>
      <c r="H25" s="7"/>
    </row>
    <row r="26" customFormat="false" ht="27.75" hidden="false" customHeight="true" outlineLevel="0" collapsed="false">
      <c r="B26" s="7" t="s">
        <v>12</v>
      </c>
      <c r="C26" s="7"/>
      <c r="D26" s="7"/>
      <c r="E26" s="7"/>
      <c r="F26" s="7"/>
      <c r="G26" s="7"/>
      <c r="H26" s="7"/>
    </row>
    <row r="27" customFormat="false" ht="27.75" hidden="false" customHeight="true" outlineLevel="0" collapsed="false">
      <c r="B27" s="7" t="s">
        <v>13</v>
      </c>
      <c r="C27" s="7"/>
      <c r="D27" s="7"/>
      <c r="E27" s="7"/>
      <c r="F27" s="7"/>
      <c r="G27" s="7"/>
      <c r="H27" s="7"/>
    </row>
    <row r="28" customFormat="false" ht="27.75" hidden="false" customHeight="true" outlineLevel="0" collapsed="false">
      <c r="B28" s="7" t="s">
        <v>14</v>
      </c>
      <c r="C28" s="7"/>
      <c r="D28" s="7"/>
      <c r="E28" s="7"/>
      <c r="F28" s="7"/>
      <c r="G28" s="7"/>
      <c r="H28" s="7"/>
    </row>
    <row r="30" customFormat="false" ht="15" hidden="false" customHeight="true" outlineLevel="0" collapsed="false">
      <c r="B30" s="6" t="s">
        <v>15</v>
      </c>
    </row>
    <row r="31" customFormat="false" ht="15" hidden="false" customHeight="true" outlineLevel="0" collapsed="false">
      <c r="B31" s="15" t="s">
        <v>16</v>
      </c>
      <c r="C31" s="16" t="s">
        <v>17</v>
      </c>
      <c r="D31" s="16"/>
      <c r="E31" s="16"/>
      <c r="F31" s="16"/>
      <c r="G31" s="16"/>
      <c r="H31" s="16"/>
    </row>
    <row r="32" customFormat="false" ht="15" hidden="false" customHeight="true" outlineLevel="0" collapsed="false">
      <c r="B32" s="15" t="s">
        <v>18</v>
      </c>
      <c r="C32" s="16" t="s">
        <v>19</v>
      </c>
      <c r="D32" s="16"/>
      <c r="E32" s="16"/>
      <c r="F32" s="16"/>
      <c r="G32" s="16"/>
      <c r="H32" s="16"/>
    </row>
    <row r="33" customFormat="false" ht="15" hidden="false" customHeight="true" outlineLevel="0" collapsed="false">
      <c r="B33" s="15" t="s">
        <v>20</v>
      </c>
      <c r="C33" s="16" t="s">
        <v>21</v>
      </c>
      <c r="D33" s="16"/>
      <c r="E33" s="16"/>
      <c r="F33" s="16"/>
      <c r="G33" s="16"/>
      <c r="H33" s="16"/>
    </row>
    <row r="34" customFormat="false" ht="15" hidden="false" customHeight="true" outlineLevel="0" collapsed="false">
      <c r="B34" s="15" t="s">
        <v>22</v>
      </c>
      <c r="C34" s="16" t="s">
        <v>23</v>
      </c>
      <c r="D34" s="16"/>
      <c r="E34" s="16"/>
      <c r="F34" s="16"/>
      <c r="G34" s="16"/>
      <c r="H34" s="16"/>
    </row>
    <row r="35" customFormat="false" ht="15" hidden="false" customHeight="true" outlineLevel="0" collapsed="false">
      <c r="B35" s="15" t="s">
        <v>24</v>
      </c>
      <c r="C35" s="16" t="s">
        <v>25</v>
      </c>
      <c r="D35" s="16"/>
      <c r="E35" s="16"/>
      <c r="F35" s="16"/>
      <c r="G35" s="16"/>
      <c r="H35" s="16"/>
    </row>
  </sheetData>
  <mergeCells count="22">
    <mergeCell ref="B2:H3"/>
    <mergeCell ref="B4:H4"/>
    <mergeCell ref="B5:H5"/>
    <mergeCell ref="B7:H7"/>
    <mergeCell ref="B10:H13"/>
    <mergeCell ref="B16:D16"/>
    <mergeCell ref="E16:G16"/>
    <mergeCell ref="B17:D17"/>
    <mergeCell ref="E17:G17"/>
    <mergeCell ref="B18:D18"/>
    <mergeCell ref="E18:G18"/>
    <mergeCell ref="B20:H20"/>
    <mergeCell ref="B22:H22"/>
    <mergeCell ref="B25:H25"/>
    <mergeCell ref="B26:H26"/>
    <mergeCell ref="B27:H27"/>
    <mergeCell ref="B28:H28"/>
    <mergeCell ref="C31:H31"/>
    <mergeCell ref="C32:H32"/>
    <mergeCell ref="C33:H33"/>
    <mergeCell ref="C34:H34"/>
    <mergeCell ref="C35:H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4" min="3" style="1" width="20"/>
    <col collapsed="false" customWidth="true" hidden="false" outlineLevel="0" max="5" min="5" style="1" width="8"/>
    <col collapsed="false" customWidth="true" hidden="false" outlineLevel="0" max="6" min="6" style="1" width="46"/>
    <col collapsed="false" customWidth="true" hidden="false" outlineLevel="0" max="7" min="7" style="1" width="3"/>
  </cols>
  <sheetData>
    <row r="2" customFormat="false" ht="19.5" hidden="false" customHeight="true" outlineLevel="0" collapsed="false">
      <c r="B2" s="2" t="s">
        <v>26</v>
      </c>
      <c r="C2" s="2"/>
      <c r="D2" s="2"/>
      <c r="E2" s="2"/>
      <c r="F2" s="2"/>
    </row>
    <row r="3" customFormat="false" ht="18" hidden="false" customHeight="true" outlineLevel="0" collapsed="false">
      <c r="B3" s="2"/>
      <c r="C3" s="2"/>
      <c r="D3" s="2"/>
      <c r="E3" s="2"/>
      <c r="F3" s="2"/>
    </row>
    <row r="5" customFormat="false" ht="15" hidden="false" customHeight="true" outlineLevel="0" collapsed="false">
      <c r="B5" s="17" t="s">
        <v>27</v>
      </c>
      <c r="C5" s="17"/>
      <c r="D5" s="17"/>
      <c r="E5" s="17"/>
      <c r="F5" s="17"/>
    </row>
    <row r="7" customFormat="false" ht="18" hidden="false" customHeight="true" outlineLevel="0" collapsed="false">
      <c r="B7" s="18" t="s">
        <v>28</v>
      </c>
      <c r="C7" s="18"/>
      <c r="D7" s="18"/>
      <c r="E7" s="18"/>
      <c r="F7" s="18"/>
    </row>
    <row r="8" customFormat="false" ht="15.75" hidden="false" customHeight="true" outlineLevel="0" collapsed="false">
      <c r="B8" s="19" t="s">
        <v>29</v>
      </c>
      <c r="C8" s="20" t="s">
        <v>30</v>
      </c>
      <c r="D8" s="20" t="s">
        <v>31</v>
      </c>
      <c r="E8" s="20"/>
      <c r="F8" s="19" t="s">
        <v>32</v>
      </c>
    </row>
    <row r="9" customFormat="false" ht="25.5" hidden="false" customHeight="true" outlineLevel="0" collapsed="false">
      <c r="B9" s="21" t="s">
        <v>33</v>
      </c>
      <c r="C9" s="22" t="s">
        <v>34</v>
      </c>
      <c r="D9" s="22" t="s">
        <v>35</v>
      </c>
      <c r="F9" s="23" t="s">
        <v>36</v>
      </c>
    </row>
    <row r="10" customFormat="false" ht="25.5" hidden="false" customHeight="true" outlineLevel="0" collapsed="false">
      <c r="B10" s="21" t="s">
        <v>37</v>
      </c>
      <c r="C10" s="22" t="s">
        <v>38</v>
      </c>
      <c r="D10" s="22" t="s">
        <v>39</v>
      </c>
      <c r="F10" s="23" t="s">
        <v>40</v>
      </c>
    </row>
    <row r="11" customFormat="false" ht="25.5" hidden="false" customHeight="true" outlineLevel="0" collapsed="false">
      <c r="B11" s="21" t="s">
        <v>41</v>
      </c>
      <c r="C11" s="22" t="s">
        <v>42</v>
      </c>
      <c r="D11" s="22" t="s">
        <v>43</v>
      </c>
      <c r="F11" s="23" t="s">
        <v>44</v>
      </c>
    </row>
    <row r="12" customFormat="false" ht="18" hidden="false" customHeight="true" outlineLevel="0" collapsed="false">
      <c r="B12" s="18" t="s">
        <v>45</v>
      </c>
      <c r="C12" s="18"/>
      <c r="D12" s="18"/>
      <c r="E12" s="18"/>
      <c r="F12" s="18"/>
    </row>
    <row r="13" customFormat="false" ht="15.75" hidden="false" customHeight="true" outlineLevel="0" collapsed="false">
      <c r="B13" s="19" t="s">
        <v>29</v>
      </c>
      <c r="C13" s="20" t="s">
        <v>30</v>
      </c>
      <c r="D13" s="20" t="s">
        <v>31</v>
      </c>
      <c r="E13" s="20"/>
      <c r="F13" s="19" t="s">
        <v>32</v>
      </c>
    </row>
    <row r="14" customFormat="false" ht="25.5" hidden="false" customHeight="true" outlineLevel="0" collapsed="false">
      <c r="B14" s="21" t="s">
        <v>46</v>
      </c>
      <c r="C14" s="24" t="n">
        <v>6</v>
      </c>
      <c r="D14" s="24" t="n">
        <v>450</v>
      </c>
      <c r="F14" s="23" t="s">
        <v>47</v>
      </c>
    </row>
    <row r="15" customFormat="false" ht="25.5" hidden="false" customHeight="true" outlineLevel="0" collapsed="false">
      <c r="B15" s="21" t="s">
        <v>48</v>
      </c>
      <c r="C15" s="25" t="s">
        <v>49</v>
      </c>
      <c r="D15" s="25" t="s">
        <v>50</v>
      </c>
      <c r="F15" s="23" t="s">
        <v>51</v>
      </c>
    </row>
    <row r="16" customFormat="false" ht="18" hidden="false" customHeight="true" outlineLevel="0" collapsed="false">
      <c r="B16" s="18" t="s">
        <v>52</v>
      </c>
      <c r="C16" s="18"/>
      <c r="D16" s="18"/>
      <c r="E16" s="18"/>
      <c r="F16" s="18"/>
    </row>
    <row r="17" customFormat="false" ht="15.75" hidden="false" customHeight="true" outlineLevel="0" collapsed="false">
      <c r="B17" s="19" t="s">
        <v>29</v>
      </c>
      <c r="C17" s="20" t="s">
        <v>30</v>
      </c>
      <c r="D17" s="20" t="s">
        <v>31</v>
      </c>
      <c r="E17" s="20"/>
      <c r="F17" s="19" t="s">
        <v>32</v>
      </c>
    </row>
    <row r="18" customFormat="false" ht="25.5" hidden="false" customHeight="true" outlineLevel="0" collapsed="false">
      <c r="B18" s="21" t="s">
        <v>53</v>
      </c>
      <c r="C18" s="26" t="n">
        <v>1.1</v>
      </c>
      <c r="D18" s="26" t="n">
        <v>4.8</v>
      </c>
      <c r="F18" s="23" t="s">
        <v>54</v>
      </c>
    </row>
    <row r="19" customFormat="false" ht="25.5" hidden="false" customHeight="true" outlineLevel="0" collapsed="false">
      <c r="B19" s="21" t="s">
        <v>55</v>
      </c>
      <c r="C19" s="26" t="n">
        <v>35</v>
      </c>
      <c r="D19" s="26" t="n">
        <v>2.1</v>
      </c>
      <c r="F19" s="23" t="s">
        <v>56</v>
      </c>
    </row>
    <row r="20" customFormat="false" ht="25.5" hidden="false" customHeight="true" outlineLevel="0" collapsed="false">
      <c r="B20" s="21" t="s">
        <v>57</v>
      </c>
      <c r="C20" s="27" t="s">
        <v>58</v>
      </c>
      <c r="D20" s="27" t="s">
        <v>59</v>
      </c>
      <c r="F20" s="23" t="s">
        <v>60</v>
      </c>
    </row>
    <row r="21" customFormat="false" ht="25.5" hidden="false" customHeight="true" outlineLevel="0" collapsed="false">
      <c r="B21" s="21" t="s">
        <v>61</v>
      </c>
      <c r="C21" s="24" t="n">
        <v>39</v>
      </c>
      <c r="D21" s="28" t="n">
        <v>1.5</v>
      </c>
      <c r="F21" s="23" t="s">
        <v>62</v>
      </c>
    </row>
    <row r="22" customFormat="false" ht="18" hidden="false" customHeight="true" outlineLevel="0" collapsed="false">
      <c r="B22" s="18" t="s">
        <v>63</v>
      </c>
      <c r="C22" s="18"/>
      <c r="D22" s="18"/>
      <c r="E22" s="18"/>
      <c r="F22" s="18"/>
    </row>
    <row r="23" customFormat="false" ht="15.75" hidden="false" customHeight="true" outlineLevel="0" collapsed="false">
      <c r="B23" s="19" t="s">
        <v>29</v>
      </c>
      <c r="C23" s="20" t="s">
        <v>30</v>
      </c>
      <c r="D23" s="20" t="s">
        <v>31</v>
      </c>
      <c r="E23" s="20"/>
      <c r="F23" s="19" t="s">
        <v>32</v>
      </c>
    </row>
    <row r="24" customFormat="false" ht="25.5" hidden="false" customHeight="true" outlineLevel="0" collapsed="false">
      <c r="B24" s="21" t="s">
        <v>64</v>
      </c>
      <c r="C24" s="25" t="n">
        <v>0.0001</v>
      </c>
      <c r="D24" s="29" t="n">
        <v>0.035</v>
      </c>
      <c r="F24" s="23" t="s">
        <v>65</v>
      </c>
    </row>
    <row r="25" customFormat="false" ht="25.5" hidden="false" customHeight="true" outlineLevel="0" collapsed="false">
      <c r="B25" s="21" t="s">
        <v>66</v>
      </c>
      <c r="C25" s="29" t="s">
        <v>67</v>
      </c>
      <c r="D25" s="27" t="s">
        <v>68</v>
      </c>
      <c r="F25" s="23" t="s">
        <v>69</v>
      </c>
    </row>
    <row r="26" customFormat="false" ht="25.5" hidden="false" customHeight="true" outlineLevel="0" collapsed="false">
      <c r="B26" s="21" t="s">
        <v>70</v>
      </c>
      <c r="C26" s="22" t="s">
        <v>71</v>
      </c>
      <c r="D26" s="22" t="s">
        <v>72</v>
      </c>
      <c r="F26" s="23" t="s">
        <v>73</v>
      </c>
    </row>
    <row r="28" customFormat="false" ht="69.75" hidden="false" customHeight="true" outlineLevel="0" collapsed="false">
      <c r="B28" s="30" t="s">
        <v>74</v>
      </c>
      <c r="C28" s="30"/>
      <c r="D28" s="30"/>
      <c r="E28" s="30"/>
      <c r="F28" s="30"/>
    </row>
  </sheetData>
  <mergeCells count="7">
    <mergeCell ref="B2:F3"/>
    <mergeCell ref="B5:F5"/>
    <mergeCell ref="B7:F7"/>
    <mergeCell ref="B12:F12"/>
    <mergeCell ref="B16:F16"/>
    <mergeCell ref="B22:F22"/>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0"/>
    <col collapsed="false" customWidth="true" hidden="false" outlineLevel="0" max="4" min="3" style="1" width="20"/>
    <col collapsed="false" customWidth="true" hidden="false" outlineLevel="0" max="5" min="5" style="1" width="3"/>
    <col collapsed="false" customWidth="true" hidden="false" outlineLevel="0" max="6" min="6" style="1" width="46"/>
    <col collapsed="false" customWidth="true" hidden="false" outlineLevel="0" max="7" min="7" style="1" width="3"/>
  </cols>
  <sheetData>
    <row r="2" customFormat="false" ht="19.5" hidden="false" customHeight="true" outlineLevel="0" collapsed="false">
      <c r="B2" s="31" t="s">
        <v>75</v>
      </c>
      <c r="C2" s="31"/>
      <c r="D2" s="31"/>
      <c r="E2" s="31"/>
      <c r="F2" s="31"/>
    </row>
    <row r="3" customFormat="false" ht="18" hidden="false" customHeight="true" outlineLevel="0" collapsed="false">
      <c r="B3" s="31"/>
      <c r="C3" s="31"/>
      <c r="D3" s="31"/>
      <c r="E3" s="31"/>
      <c r="F3" s="31"/>
    </row>
    <row r="5" customFormat="false" ht="15" hidden="false" customHeight="true" outlineLevel="0" collapsed="false">
      <c r="B5" s="17" t="s">
        <v>76</v>
      </c>
      <c r="C5" s="17"/>
      <c r="D5" s="17"/>
      <c r="E5" s="17"/>
      <c r="F5" s="17"/>
    </row>
    <row r="6" customFormat="false" ht="15" hidden="false" customHeight="true" outlineLevel="0" collapsed="false">
      <c r="G6" s="32" t="s">
        <v>77</v>
      </c>
    </row>
    <row r="7" customFormat="false" ht="18" hidden="false" customHeight="true" outlineLevel="0" collapsed="false">
      <c r="B7" s="18" t="s">
        <v>78</v>
      </c>
      <c r="C7" s="18"/>
      <c r="D7" s="18"/>
      <c r="E7" s="18"/>
      <c r="F7" s="18"/>
    </row>
    <row r="8" customFormat="false" ht="15.75" hidden="false" customHeight="true" outlineLevel="0" collapsed="false">
      <c r="B8" s="19" t="s">
        <v>79</v>
      </c>
      <c r="C8" s="20" t="s">
        <v>30</v>
      </c>
      <c r="D8" s="20" t="s">
        <v>31</v>
      </c>
    </row>
    <row r="9" customFormat="false" ht="24" hidden="false" customHeight="true" outlineLevel="0" collapsed="false">
      <c r="B9" s="33" t="s">
        <v>46</v>
      </c>
      <c r="C9" s="34" t="n">
        <f aca="false">'Data Inputs'!C14</f>
        <v>6</v>
      </c>
      <c r="D9" s="34" t="n">
        <f aca="false">'Data Inputs'!D14</f>
        <v>450</v>
      </c>
    </row>
    <row r="10" customFormat="false" ht="24" hidden="false" customHeight="true" outlineLevel="0" collapsed="false">
      <c r="B10" s="33" t="s">
        <v>80</v>
      </c>
      <c r="C10" s="35" t="n">
        <v>0.6</v>
      </c>
      <c r="D10" s="35" t="n">
        <v>0.6</v>
      </c>
      <c r="F10" s="23" t="s">
        <v>81</v>
      </c>
    </row>
    <row r="11" customFormat="false" ht="24" hidden="false" customHeight="true" outlineLevel="0" collapsed="false">
      <c r="B11" s="33" t="s">
        <v>82</v>
      </c>
      <c r="C11" s="36" t="n">
        <f aca="false">(C9/10000)/C10</f>
        <v>0.001</v>
      </c>
      <c r="D11" s="37" t="n">
        <f aca="false">(D9/10000)/D10</f>
        <v>0.075</v>
      </c>
      <c r="F11" s="23" t="s">
        <v>83</v>
      </c>
    </row>
    <row r="12" customFormat="false" ht="24" hidden="false" customHeight="true" outlineLevel="0" collapsed="false">
      <c r="B12" s="21" t="s">
        <v>84</v>
      </c>
      <c r="C12" s="38" t="n">
        <f aca="false">1-EXP(-C11)</f>
        <v>0.000999500166624978</v>
      </c>
      <c r="D12" s="39" t="n">
        <f aca="false">1-EXP(-D11)</f>
        <v>0.0722565136714471</v>
      </c>
      <c r="F12" s="23" t="s">
        <v>85</v>
      </c>
    </row>
    <row r="14" customFormat="false" ht="18" hidden="false" customHeight="true" outlineLevel="0" collapsed="false">
      <c r="B14" s="18" t="s">
        <v>86</v>
      </c>
      <c r="C14" s="18"/>
      <c r="D14" s="18"/>
      <c r="E14" s="18"/>
      <c r="F14" s="18"/>
    </row>
    <row r="15" customFormat="false" ht="15.75" hidden="false" customHeight="true" outlineLevel="0" collapsed="false">
      <c r="B15" s="19" t="s">
        <v>79</v>
      </c>
      <c r="C15" s="20" t="s">
        <v>30</v>
      </c>
      <c r="D15" s="20" t="s">
        <v>31</v>
      </c>
    </row>
    <row r="16" customFormat="false" ht="24" hidden="false" customHeight="true" outlineLevel="0" collapsed="false">
      <c r="B16" s="33" t="s">
        <v>53</v>
      </c>
      <c r="C16" s="40" t="n">
        <f aca="false">'Data Inputs'!C18</f>
        <v>1.1</v>
      </c>
      <c r="D16" s="40" t="n">
        <f aca="false">'Data Inputs'!D18</f>
        <v>4.8</v>
      </c>
    </row>
    <row r="17" customFormat="false" ht="24" hidden="false" customHeight="true" outlineLevel="0" collapsed="false">
      <c r="B17" s="33" t="s">
        <v>55</v>
      </c>
      <c r="C17" s="40" t="n">
        <f aca="false">'Data Inputs'!C19</f>
        <v>35</v>
      </c>
      <c r="D17" s="40" t="n">
        <f aca="false">'Data Inputs'!D19</f>
        <v>2.1</v>
      </c>
    </row>
    <row r="18" customFormat="false" ht="24" hidden="false" customHeight="true" outlineLevel="0" collapsed="false">
      <c r="B18" s="33" t="s">
        <v>87</v>
      </c>
      <c r="C18" s="34" t="n">
        <f aca="false">'Data Inputs'!C21</f>
        <v>39</v>
      </c>
      <c r="D18" s="41" t="n">
        <f aca="false">'Data Inputs'!D21</f>
        <v>1.5</v>
      </c>
    </row>
    <row r="19" customFormat="false" ht="24" hidden="false" customHeight="true" outlineLevel="0" collapsed="false">
      <c r="B19" s="21" t="s">
        <v>88</v>
      </c>
      <c r="C19" s="42" t="n">
        <f aca="false">MIN(1,MAX(0, 0.35*(C16/8) + 0.45*(1/(C17+1)) + 0.2*(1/(C18+1)) ))</f>
        <v>0.065625</v>
      </c>
      <c r="D19" s="42" t="n">
        <f aca="false">MIN(1,MAX(0, 0.35*(D16/8) + 0.45*(1/(D17+1)) + 0.2*(1/(D18+1)) ))</f>
        <v>0.435161290322581</v>
      </c>
      <c r="F19" s="23" t="s">
        <v>89</v>
      </c>
    </row>
    <row r="20" customFormat="false" ht="24" hidden="false" customHeight="true" outlineLevel="0" collapsed="false">
      <c r="B20" s="33" t="s">
        <v>90</v>
      </c>
      <c r="C20" s="43" t="n">
        <f aca="false">C19*0.02</f>
        <v>0.0013125</v>
      </c>
      <c r="D20" s="37" t="n">
        <f aca="false">D19*0.02</f>
        <v>0.00870322580645161</v>
      </c>
      <c r="F20" s="23" t="s">
        <v>91</v>
      </c>
    </row>
    <row r="22" customFormat="false" ht="18" hidden="false" customHeight="true" outlineLevel="0" collapsed="false">
      <c r="B22" s="18" t="s">
        <v>92</v>
      </c>
      <c r="C22" s="18"/>
      <c r="D22" s="18"/>
      <c r="E22" s="18"/>
      <c r="F22" s="18"/>
    </row>
    <row r="23" customFormat="false" ht="15.75" hidden="false" customHeight="true" outlineLevel="0" collapsed="false">
      <c r="B23" s="19" t="s">
        <v>79</v>
      </c>
      <c r="C23" s="20" t="s">
        <v>30</v>
      </c>
      <c r="D23" s="20" t="s">
        <v>31</v>
      </c>
    </row>
    <row r="24" customFormat="false" ht="24" hidden="false" customHeight="true" outlineLevel="0" collapsed="false">
      <c r="B24" s="33" t="s">
        <v>93</v>
      </c>
      <c r="C24" s="43" t="n">
        <f aca="false">C12*0.6</f>
        <v>0.000599700099974987</v>
      </c>
      <c r="D24" s="37" t="n">
        <f aca="false">D12*0.6</f>
        <v>0.0433539082028683</v>
      </c>
    </row>
    <row r="25" customFormat="false" ht="24" hidden="false" customHeight="true" outlineLevel="0" collapsed="false">
      <c r="B25" s="33" t="s">
        <v>94</v>
      </c>
      <c r="C25" s="43" t="n">
        <f aca="false">C20*0.4</f>
        <v>0.000525</v>
      </c>
      <c r="D25" s="37" t="n">
        <f aca="false">D20*0.4</f>
        <v>0.00348129032258065</v>
      </c>
    </row>
    <row r="26" customFormat="false" ht="25.5" hidden="false" customHeight="true" outlineLevel="0" collapsed="false">
      <c r="B26" s="44" t="s">
        <v>95</v>
      </c>
      <c r="C26" s="45" t="n">
        <f aca="false">C24+C25</f>
        <v>0.00112470009997499</v>
      </c>
      <c r="D26" s="46" t="n">
        <f aca="false">D24+D25</f>
        <v>0.0468351985254489</v>
      </c>
      <c r="F26" s="23" t="s">
        <v>96</v>
      </c>
    </row>
    <row r="28" customFormat="false" ht="18" hidden="false" customHeight="true" outlineLevel="0" collapsed="false">
      <c r="B28" s="18" t="s">
        <v>97</v>
      </c>
      <c r="C28" s="18"/>
      <c r="D28" s="18"/>
      <c r="E28" s="18"/>
      <c r="F28" s="18"/>
    </row>
    <row r="29" customFormat="false" ht="15.75" hidden="false" customHeight="true" outlineLevel="0" collapsed="false">
      <c r="B29" s="19" t="s">
        <v>79</v>
      </c>
      <c r="C29" s="20" t="s">
        <v>30</v>
      </c>
      <c r="D29" s="20" t="s">
        <v>31</v>
      </c>
    </row>
    <row r="30" customFormat="false" ht="24" hidden="false" customHeight="true" outlineLevel="0" collapsed="false">
      <c r="B30" s="33" t="s">
        <v>98</v>
      </c>
      <c r="C30" s="47" t="n">
        <f aca="false">'Data Inputs'!C24</f>
        <v>0.0001</v>
      </c>
      <c r="D30" s="48" t="n">
        <f aca="false">'Data Inputs'!D24</f>
        <v>0.035</v>
      </c>
    </row>
    <row r="31" customFormat="false" ht="24" hidden="false" customHeight="true" outlineLevel="0" collapsed="false">
      <c r="B31" s="33" t="s">
        <v>99</v>
      </c>
      <c r="C31" s="33" t="str">
        <f aca="false">IF(ABS(C26-C30)&lt;0.02,"Within tolerance","Review")</f>
        <v>Within tolerance</v>
      </c>
      <c r="D31" s="33" t="str">
        <f aca="false">IF(ABS(D26-D30)&lt;0.05,"Within tolerance","Review")</f>
        <v>Within tolerance</v>
      </c>
      <c r="F31" s="23" t="s">
        <v>100</v>
      </c>
    </row>
  </sheetData>
  <mergeCells count="6">
    <mergeCell ref="B2:F3"/>
    <mergeCell ref="B5:F5"/>
    <mergeCell ref="B7:F7"/>
    <mergeCell ref="B14:F14"/>
    <mergeCell ref="B22:F22"/>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4"/>
    <col collapsed="false" customWidth="true" hidden="false" outlineLevel="0" max="4" min="3" style="1" width="20"/>
    <col collapsed="false" customWidth="true" hidden="false" outlineLevel="0" max="5" min="5" style="1" width="3"/>
    <col collapsed="false" customWidth="true" hidden="false" outlineLevel="0" max="6" min="6" style="1" width="46"/>
    <col collapsed="false" customWidth="true" hidden="false" outlineLevel="0" max="7" min="7" style="1" width="3"/>
  </cols>
  <sheetData>
    <row r="2" customFormat="false" ht="19.5" hidden="false" customHeight="true" outlineLevel="0" collapsed="false">
      <c r="B2" s="31" t="s">
        <v>101</v>
      </c>
      <c r="C2" s="31"/>
      <c r="D2" s="31"/>
      <c r="E2" s="31"/>
      <c r="F2" s="31"/>
    </row>
    <row r="3" customFormat="false" ht="18" hidden="false" customHeight="true" outlineLevel="0" collapsed="false">
      <c r="B3" s="31"/>
      <c r="C3" s="31"/>
      <c r="D3" s="31"/>
      <c r="E3" s="31"/>
      <c r="F3" s="31"/>
    </row>
    <row r="5" customFormat="false" ht="15" hidden="false" customHeight="true" outlineLevel="0" collapsed="false">
      <c r="B5" s="17" t="s">
        <v>102</v>
      </c>
      <c r="C5" s="17"/>
      <c r="D5" s="17"/>
      <c r="E5" s="17"/>
      <c r="F5" s="17"/>
    </row>
    <row r="7" customFormat="false" ht="18" hidden="false" customHeight="true" outlineLevel="0" collapsed="false">
      <c r="B7" s="18" t="s">
        <v>103</v>
      </c>
      <c r="C7" s="18"/>
      <c r="D7" s="18"/>
      <c r="E7" s="18"/>
      <c r="F7" s="18"/>
    </row>
    <row r="8" customFormat="false" ht="15" hidden="false" customHeight="true" outlineLevel="0" collapsed="false">
      <c r="B8" s="49" t="s">
        <v>104</v>
      </c>
      <c r="C8" s="49"/>
      <c r="D8" s="49"/>
    </row>
    <row r="9" customFormat="false" ht="15" hidden="false" customHeight="true" outlineLevel="0" collapsed="false">
      <c r="B9" s="49" t="s">
        <v>105</v>
      </c>
      <c r="C9" s="49"/>
      <c r="D9" s="49"/>
    </row>
    <row r="10" customFormat="false" ht="24" hidden="false" customHeight="true" outlineLevel="0" collapsed="false">
      <c r="B10" s="33" t="s">
        <v>106</v>
      </c>
      <c r="C10" s="35" t="n">
        <v>0.05</v>
      </c>
      <c r="F10" s="23" t="s">
        <v>107</v>
      </c>
    </row>
    <row r="12" customFormat="false" ht="18" hidden="false" customHeight="true" outlineLevel="0" collapsed="false">
      <c r="B12" s="18" t="s">
        <v>108</v>
      </c>
      <c r="C12" s="18"/>
      <c r="D12" s="18"/>
      <c r="E12" s="18"/>
      <c r="F12" s="18"/>
    </row>
    <row r="13" customFormat="false" ht="15.75" hidden="false" customHeight="true" outlineLevel="0" collapsed="false">
      <c r="B13" s="19" t="s">
        <v>109</v>
      </c>
      <c r="C13" s="20" t="s">
        <v>30</v>
      </c>
      <c r="D13" s="20" t="s">
        <v>31</v>
      </c>
    </row>
    <row r="14" customFormat="false" ht="24" hidden="false" customHeight="true" outlineLevel="0" collapsed="false">
      <c r="B14" s="33" t="s">
        <v>110</v>
      </c>
      <c r="C14" s="50" t="n">
        <f aca="false">'Model - PD Estimation'!C26</f>
        <v>0.00112470009997499</v>
      </c>
      <c r="D14" s="47" t="n">
        <f aca="false">'Model - PD Estimation'!D26</f>
        <v>0.0468351985254489</v>
      </c>
    </row>
    <row r="15" customFormat="false" ht="24" hidden="false" customHeight="true" outlineLevel="0" collapsed="false">
      <c r="B15" s="33" t="s">
        <v>111</v>
      </c>
      <c r="C15" s="51" t="n">
        <v>5000</v>
      </c>
      <c r="D15" s="51" t="n">
        <v>500</v>
      </c>
      <c r="F15" s="23" t="s">
        <v>112</v>
      </c>
    </row>
    <row r="16" customFormat="false" ht="24" hidden="false" customHeight="true" outlineLevel="0" collapsed="false">
      <c r="B16" s="33" t="s">
        <v>113</v>
      </c>
      <c r="C16" s="52" t="n">
        <f aca="false">C14*C15</f>
        <v>5.62350049987493</v>
      </c>
      <c r="D16" s="52" t="n">
        <f aca="false">D14*D15</f>
        <v>23.4175992627245</v>
      </c>
      <c r="F16" s="23" t="s">
        <v>114</v>
      </c>
    </row>
    <row r="18" customFormat="false" ht="18" hidden="false" customHeight="true" outlineLevel="0" collapsed="false">
      <c r="B18" s="18" t="s">
        <v>115</v>
      </c>
      <c r="C18" s="18"/>
      <c r="D18" s="18"/>
      <c r="E18" s="18"/>
      <c r="F18" s="18"/>
    </row>
    <row r="19" customFormat="false" ht="15.75" hidden="false" customHeight="true" outlineLevel="0" collapsed="false">
      <c r="B19" s="19" t="s">
        <v>109</v>
      </c>
      <c r="C19" s="20" t="s">
        <v>116</v>
      </c>
      <c r="D19" s="20" t="s">
        <v>31</v>
      </c>
    </row>
    <row r="20" customFormat="false" ht="24" hidden="false" customHeight="true" outlineLevel="0" collapsed="false">
      <c r="B20" s="33" t="s">
        <v>117</v>
      </c>
      <c r="C20" s="43" t="n">
        <f aca="false">(C14*C15+D14*D15)/(C15+D15)</f>
        <v>0.00528019995683625</v>
      </c>
      <c r="F20" s="23" t="s">
        <v>118</v>
      </c>
    </row>
    <row r="21" customFormat="false" ht="24" hidden="false" customHeight="true" outlineLevel="0" collapsed="false">
      <c r="B21" s="33" t="s">
        <v>119</v>
      </c>
      <c r="C21" s="53" t="n">
        <f aca="false">SQRT(C20*(1-C20)*(1/C15+1/D15))</f>
        <v>0.00339927974423327</v>
      </c>
    </row>
    <row r="22" customFormat="false" ht="24" hidden="false" customHeight="true" outlineLevel="0" collapsed="false">
      <c r="B22" s="21" t="s">
        <v>120</v>
      </c>
      <c r="C22" s="38" t="n">
        <f aca="false">D14-C14</f>
        <v>0.0457104984254739</v>
      </c>
    </row>
    <row r="23" customFormat="false" ht="24" hidden="false" customHeight="true" outlineLevel="0" collapsed="false">
      <c r="B23" s="21" t="s">
        <v>121</v>
      </c>
      <c r="C23" s="54" t="n">
        <f aca="false">(D14-C14)/C21</f>
        <v>13.447112878256</v>
      </c>
      <c r="F23" s="23" t="s">
        <v>122</v>
      </c>
    </row>
    <row r="24" customFormat="false" ht="24" hidden="false" customHeight="true" outlineLevel="0" collapsed="false">
      <c r="B24" s="33" t="s">
        <v>123</v>
      </c>
      <c r="C24" s="55" t="n">
        <v>1.645</v>
      </c>
      <c r="F24" s="23" t="s">
        <v>124</v>
      </c>
    </row>
    <row r="25" customFormat="false" ht="24" hidden="false" customHeight="true" outlineLevel="0" collapsed="false">
      <c r="B25" s="21" t="s">
        <v>125</v>
      </c>
      <c r="C25" s="56" t="n">
        <f aca="false">1-_xlfn.NORM.S.DIST(C23,TRUE())</f>
        <v>0</v>
      </c>
      <c r="F25" s="23" t="s">
        <v>126</v>
      </c>
    </row>
    <row r="27" customFormat="false" ht="18" hidden="false" customHeight="true" outlineLevel="0" collapsed="false">
      <c r="B27" s="18" t="s">
        <v>127</v>
      </c>
      <c r="C27" s="18"/>
      <c r="D27" s="18"/>
      <c r="E27" s="18"/>
      <c r="F27" s="18"/>
    </row>
    <row r="28" customFormat="false" ht="24" hidden="false" customHeight="true" outlineLevel="0" collapsed="false">
      <c r="B28" s="21" t="s">
        <v>128</v>
      </c>
      <c r="C28" s="21" t="str">
        <f aca="false">IF(C23&gt;C24,"YES — Reject H0","No — Fail to reject H0")</f>
        <v>YES — Reject H0</v>
      </c>
    </row>
    <row r="29" customFormat="false" ht="24" hidden="false" customHeight="true" outlineLevel="0" collapsed="false">
      <c r="B29" s="33" t="s">
        <v>129</v>
      </c>
      <c r="C29" s="57" t="n">
        <f aca="false">1-C25</f>
        <v>1</v>
      </c>
    </row>
    <row r="31" customFormat="false" ht="49.5" hidden="false" customHeight="true" outlineLevel="0" collapsed="false">
      <c r="B31" s="58" t="str">
        <f aca="false">"Statistical conclusion: With Z = "&amp;TEXT(C23,"0.00")&amp;" against a critical value of 1.645 (95% confidence, one-tailed), the test "&amp;"REJECTS the null hypothesis that both firms share the same default risk. The gap in probability of default between the small-cap "&amp;"issuer and Microsoft is statistically significant, not attributable to random variation or model noise."</f>
        <v>Statistical conclusion: With Z = 13.45 against a critical value of 1.645 (95% confidence, one-tailed), the test REJECTS the null hypothesis that both firms share the same default risk. The gap in probability of default between the small-cap issuer and Microsoft is statistically significant, not attributable to random variation or model noise.</v>
      </c>
      <c r="C31" s="58"/>
      <c r="D31" s="58"/>
      <c r="E31" s="58"/>
      <c r="F31" s="58"/>
    </row>
    <row r="32" customFormat="false" ht="15" hidden="false" customHeight="true" outlineLevel="0" collapsed="false">
      <c r="B32" s="58"/>
      <c r="C32" s="58"/>
      <c r="D32" s="58"/>
      <c r="E32" s="58"/>
      <c r="F32" s="58"/>
    </row>
    <row r="33" customFormat="false" ht="15" hidden="false" customHeight="true" outlineLevel="0" collapsed="false">
      <c r="B33" s="58"/>
      <c r="C33" s="58"/>
      <c r="D33" s="58"/>
      <c r="E33" s="58"/>
      <c r="F33" s="58"/>
    </row>
  </sheetData>
  <mergeCells count="9">
    <mergeCell ref="B2:F3"/>
    <mergeCell ref="B5:F5"/>
    <mergeCell ref="B7:F7"/>
    <mergeCell ref="B8:D8"/>
    <mergeCell ref="B9:D9"/>
    <mergeCell ref="B12:F12"/>
    <mergeCell ref="B18:F18"/>
    <mergeCell ref="B27:F27"/>
    <mergeCell ref="B31:F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13" min="2" style="1" width="11"/>
  </cols>
  <sheetData>
    <row r="2" customFormat="false" ht="19.5" hidden="false" customHeight="true" outlineLevel="0" collapsed="false">
      <c r="B2" s="31" t="s">
        <v>130</v>
      </c>
      <c r="C2" s="31"/>
      <c r="D2" s="31"/>
      <c r="E2" s="31"/>
      <c r="F2" s="31"/>
      <c r="G2" s="31"/>
      <c r="H2" s="31"/>
      <c r="I2" s="31"/>
      <c r="J2" s="31"/>
      <c r="K2" s="31"/>
      <c r="L2" s="31"/>
      <c r="M2" s="31"/>
    </row>
    <row r="3" customFormat="false" ht="18" hidden="false" customHeight="true" outlineLevel="0" collapsed="false">
      <c r="B3" s="31"/>
      <c r="C3" s="31"/>
      <c r="D3" s="31"/>
      <c r="E3" s="31"/>
      <c r="F3" s="31"/>
      <c r="G3" s="31"/>
      <c r="H3" s="31"/>
      <c r="I3" s="31"/>
      <c r="J3" s="31"/>
      <c r="K3" s="31"/>
      <c r="L3" s="31"/>
      <c r="M3" s="31"/>
    </row>
    <row r="5" customFormat="false" ht="25.5" hidden="false" customHeight="true" outlineLevel="0" collapsed="false">
      <c r="B5" s="59" t="s">
        <v>131</v>
      </c>
      <c r="C5" s="59"/>
      <c r="D5" s="59"/>
      <c r="E5" s="59"/>
      <c r="F5" s="59"/>
      <c r="G5" s="59"/>
      <c r="H5" s="59"/>
      <c r="I5" s="59"/>
      <c r="J5" s="59"/>
      <c r="K5" s="59"/>
      <c r="L5" s="59"/>
      <c r="M5" s="59"/>
    </row>
    <row r="7" customFormat="false" ht="15" hidden="false" customHeight="true" outlineLevel="0" collapsed="false">
      <c r="B7" s="18" t="s">
        <v>132</v>
      </c>
      <c r="C7" s="18"/>
      <c r="D7" s="18"/>
      <c r="E7" s="18"/>
      <c r="F7" s="18"/>
      <c r="G7" s="18"/>
      <c r="H7" s="18"/>
      <c r="I7" s="18"/>
      <c r="J7" s="18"/>
      <c r="K7" s="18"/>
      <c r="L7" s="18"/>
      <c r="M7" s="18"/>
    </row>
    <row r="9" customFormat="false" ht="15" hidden="false" customHeight="true" outlineLevel="0" collapsed="false">
      <c r="B9" s="60" t="s">
        <v>133</v>
      </c>
      <c r="C9" s="61" t="s">
        <v>134</v>
      </c>
      <c r="D9" s="62" t="s">
        <v>135</v>
      </c>
    </row>
    <row r="10" customFormat="false" ht="15" hidden="false" customHeight="true" outlineLevel="0" collapsed="false">
      <c r="B10" s="63" t="n">
        <v>-2</v>
      </c>
      <c r="C10" s="64" t="n">
        <f aca="false">_xlfn.NORM.DIST(B10,6,1,FALSE())</f>
        <v>5.05227108353689E-015</v>
      </c>
      <c r="D10" s="64" t="n">
        <f aca="false">_xlfn.NORM.DIST(B10,2.2,1.6,FALSE())</f>
        <v>0.00795261349801965</v>
      </c>
    </row>
    <row r="11" customFormat="false" ht="15" hidden="false" customHeight="true" outlineLevel="0" collapsed="false">
      <c r="B11" s="63" t="n">
        <v>-1.6</v>
      </c>
      <c r="C11" s="64" t="n">
        <f aca="false">_xlfn.NORM.DIST(B11,6,1,FALSE())</f>
        <v>1.14415649018014E-013</v>
      </c>
      <c r="D11" s="64" t="n">
        <f aca="false">_xlfn.NORM.DIST(B11,2.2,1.6,FALSE())</f>
        <v>0.0148574380186961</v>
      </c>
    </row>
    <row r="12" customFormat="false" ht="15" hidden="false" customHeight="true" outlineLevel="0" collapsed="false">
      <c r="B12" s="63" t="n">
        <v>-1.2</v>
      </c>
      <c r="C12" s="64" t="n">
        <f aca="false">_xlfn.NORM.DIST(B12,6,1,FALSE())</f>
        <v>2.20798996313714E-012</v>
      </c>
      <c r="D12" s="64" t="n">
        <f aca="false">_xlfn.NORM.DIST(B12,2.2,1.6,FALSE())</f>
        <v>0.0260756157852116</v>
      </c>
    </row>
    <row r="13" customFormat="false" ht="15" hidden="false" customHeight="true" outlineLevel="0" collapsed="false">
      <c r="B13" s="63" t="n">
        <v>-0.8</v>
      </c>
      <c r="C13" s="64" t="n">
        <f aca="false">_xlfn.NORM.DIST(B13,6,1,FALSE())</f>
        <v>3.6309615017918E-011</v>
      </c>
      <c r="D13" s="64" t="n">
        <f aca="false">_xlfn.NORM.DIST(B13,2.2,1.6,FALSE())</f>
        <v>0.0429914223916824</v>
      </c>
    </row>
    <row r="14" customFormat="false" ht="15" hidden="false" customHeight="true" outlineLevel="0" collapsed="false">
      <c r="B14" s="63" t="n">
        <v>-0.4</v>
      </c>
      <c r="C14" s="64" t="n">
        <f aca="false">_xlfn.NORM.DIST(B14,6,1,FALSE())</f>
        <v>5.08814028164504E-010</v>
      </c>
      <c r="D14" s="64" t="n">
        <f aca="false">_xlfn.NORM.DIST(B14,2.2,1.6,FALSE())</f>
        <v>0.0665864175816157</v>
      </c>
    </row>
    <row r="15" customFormat="false" ht="15" hidden="false" customHeight="true" outlineLevel="0" collapsed="false">
      <c r="B15" s="63" t="n">
        <v>0</v>
      </c>
      <c r="C15" s="64" t="n">
        <f aca="false">_xlfn.NORM.DIST(B15,6,1,FALSE())</f>
        <v>6.07588284982329E-009</v>
      </c>
      <c r="D15" s="64" t="n">
        <f aca="false">_xlfn.NORM.DIST(B15,2.2,1.6,FALSE())</f>
        <v>0.0968826659114333</v>
      </c>
    </row>
    <row r="16" customFormat="false" ht="15" hidden="false" customHeight="true" outlineLevel="0" collapsed="false">
      <c r="B16" s="63" t="n">
        <v>0.4</v>
      </c>
      <c r="C16" s="64" t="n">
        <f aca="false">_xlfn.NORM.DIST(B16,6,1,FALSE())</f>
        <v>6.18262050016586E-008</v>
      </c>
      <c r="D16" s="64" t="n">
        <f aca="false">_xlfn.NORM.DIST(B16,2.2,1.6,FALSE())</f>
        <v>0.132422903609812</v>
      </c>
    </row>
    <row r="17" customFormat="false" ht="15" hidden="false" customHeight="true" outlineLevel="0" collapsed="false">
      <c r="B17" s="63" t="n">
        <v>0.8</v>
      </c>
      <c r="C17" s="64" t="n">
        <f aca="false">_xlfn.NORM.DIST(B17,6,1,FALSE())</f>
        <v>5.36103534469762E-007</v>
      </c>
      <c r="D17" s="64" t="n">
        <f aca="false">_xlfn.NORM.DIST(B17,2.2,1.6,FALSE())</f>
        <v>0.17003437398659</v>
      </c>
    </row>
    <row r="18" customFormat="false" ht="15" hidden="false" customHeight="true" outlineLevel="0" collapsed="false">
      <c r="B18" s="63" t="n">
        <v>1.2</v>
      </c>
      <c r="C18" s="64" t="n">
        <f aca="false">_xlfn.NORM.DIST(B18,6,1,FALSE())</f>
        <v>3.96129909103208E-006</v>
      </c>
      <c r="D18" s="64" t="n">
        <f aca="false">_xlfn.NORM.DIST(B18,2.2,1.6,FALSE())</f>
        <v>0.205100605343984</v>
      </c>
    </row>
    <row r="19" customFormat="false" ht="15" hidden="false" customHeight="true" outlineLevel="0" collapsed="false">
      <c r="B19" s="63" t="n">
        <v>1.6</v>
      </c>
      <c r="C19" s="64" t="n">
        <f aca="false">_xlfn.NORM.DIST(B19,6,1,FALSE())</f>
        <v>2.49424712900535E-005</v>
      </c>
      <c r="D19" s="64" t="n">
        <f aca="false">_xlfn.NORM.DIST(B19,2.2,1.6,FALSE())</f>
        <v>0.232409433668606</v>
      </c>
    </row>
    <row r="20" customFormat="false" ht="15" hidden="false" customHeight="true" outlineLevel="0" collapsed="false">
      <c r="B20" s="63" t="n">
        <v>2</v>
      </c>
      <c r="C20" s="64" t="n">
        <f aca="false">_xlfn.NORM.DIST(B20,6,1,FALSE())</f>
        <v>0.000133830225764885</v>
      </c>
      <c r="D20" s="64" t="n">
        <f aca="false">_xlfn.NORM.DIST(B20,2.2,1.6,FALSE())</f>
        <v>0.247398554340468</v>
      </c>
    </row>
    <row r="21" customFormat="false" ht="15" hidden="false" customHeight="true" outlineLevel="0" collapsed="false">
      <c r="B21" s="63" t="n">
        <v>2.4</v>
      </c>
      <c r="C21" s="64" t="n">
        <f aca="false">_xlfn.NORM.DIST(B21,6,1,FALSE())</f>
        <v>0.000611901930113772</v>
      </c>
      <c r="D21" s="64" t="n">
        <f aca="false">_xlfn.NORM.DIST(B21,2.2,1.6,FALSE())</f>
        <v>0.247398554340468</v>
      </c>
    </row>
    <row r="22" customFormat="false" ht="15" hidden="false" customHeight="true" outlineLevel="0" collapsed="false">
      <c r="B22" s="63" t="n">
        <v>2.8</v>
      </c>
      <c r="C22" s="64" t="n">
        <f aca="false">_xlfn.NORM.DIST(B22,6,1,FALSE())</f>
        <v>0.00238408820146484</v>
      </c>
      <c r="D22" s="64" t="n">
        <f aca="false">_xlfn.NORM.DIST(B22,2.2,1.6,FALSE())</f>
        <v>0.232409433668606</v>
      </c>
    </row>
    <row r="23" customFormat="false" ht="15" hidden="false" customHeight="true" outlineLevel="0" collapsed="false">
      <c r="B23" s="63" t="n">
        <v>3.2</v>
      </c>
      <c r="C23" s="64" t="n">
        <f aca="false">_xlfn.NORM.DIST(B23,6,1,FALSE())</f>
        <v>0.00791545158297997</v>
      </c>
      <c r="D23" s="64" t="n">
        <f aca="false">_xlfn.NORM.DIST(B23,2.2,1.6,FALSE())</f>
        <v>0.205100605343984</v>
      </c>
    </row>
    <row r="24" customFormat="false" ht="15" hidden="false" customHeight="true" outlineLevel="0" collapsed="false">
      <c r="B24" s="63" t="n">
        <v>3.6</v>
      </c>
      <c r="C24" s="64" t="n">
        <f aca="false">_xlfn.NORM.DIST(B24,6,1,FALSE())</f>
        <v>0.0223945302948429</v>
      </c>
      <c r="D24" s="64" t="n">
        <f aca="false">_xlfn.NORM.DIST(B24,2.2,1.6,FALSE())</f>
        <v>0.17003437398659</v>
      </c>
    </row>
    <row r="25" customFormat="false" ht="15" hidden="false" customHeight="true" outlineLevel="0" collapsed="false">
      <c r="B25" s="63" t="n">
        <v>4</v>
      </c>
      <c r="C25" s="64" t="n">
        <f aca="false">_xlfn.NORM.DIST(B25,6,1,FALSE())</f>
        <v>0.0539909665131881</v>
      </c>
      <c r="D25" s="64" t="n">
        <f aca="false">_xlfn.NORM.DIST(B25,2.2,1.6,FALSE())</f>
        <v>0.132422903609812</v>
      </c>
    </row>
    <row r="26" customFormat="false" ht="15" hidden="false" customHeight="true" outlineLevel="0" collapsed="false">
      <c r="B26" s="63" t="n">
        <v>4.4</v>
      </c>
      <c r="C26" s="64" t="n">
        <f aca="false">_xlfn.NORM.DIST(B26,6,1,FALSE())</f>
        <v>0.110920834679456</v>
      </c>
      <c r="D26" s="64" t="n">
        <f aca="false">_xlfn.NORM.DIST(B26,2.2,1.6,FALSE())</f>
        <v>0.0968826659114333</v>
      </c>
    </row>
    <row r="27" customFormat="false" ht="15" hidden="false" customHeight="true" outlineLevel="0" collapsed="false">
      <c r="B27" s="63" t="n">
        <v>4.8</v>
      </c>
      <c r="C27" s="64" t="n">
        <f aca="false">_xlfn.NORM.DIST(B27,6,1,FALSE())</f>
        <v>0.194186054983213</v>
      </c>
      <c r="D27" s="64" t="n">
        <f aca="false">_xlfn.NORM.DIST(B27,2.2,1.6,FALSE())</f>
        <v>0.0665864175816157</v>
      </c>
    </row>
    <row r="28" customFormat="false" ht="15" hidden="false" customHeight="true" outlineLevel="0" collapsed="false">
      <c r="B28" s="63" t="n">
        <v>5.2</v>
      </c>
      <c r="C28" s="64" t="n">
        <f aca="false">_xlfn.NORM.DIST(B28,6,1,FALSE())</f>
        <v>0.289691552761483</v>
      </c>
      <c r="D28" s="64" t="n">
        <f aca="false">_xlfn.NORM.DIST(B28,2.2,1.6,FALSE())</f>
        <v>0.0429914223916824</v>
      </c>
    </row>
    <row r="29" customFormat="false" ht="15" hidden="false" customHeight="true" outlineLevel="0" collapsed="false">
      <c r="B29" s="63" t="n">
        <v>5.6</v>
      </c>
      <c r="C29" s="64" t="n">
        <f aca="false">_xlfn.NORM.DIST(B29,6,1,FALSE())</f>
        <v>0.368270140303323</v>
      </c>
      <c r="D29" s="64" t="n">
        <f aca="false">_xlfn.NORM.DIST(B29,2.2,1.6,FALSE())</f>
        <v>0.0260756157852117</v>
      </c>
    </row>
    <row r="30" customFormat="false" ht="15" hidden="false" customHeight="true" outlineLevel="0" collapsed="false">
      <c r="B30" s="63" t="n">
        <v>6</v>
      </c>
      <c r="C30" s="64" t="n">
        <f aca="false">_xlfn.NORM.DIST(B30,6,1,FALSE())</f>
        <v>0.398942280401433</v>
      </c>
      <c r="D30" s="64" t="n">
        <f aca="false">_xlfn.NORM.DIST(B30,2.2,1.6,FALSE())</f>
        <v>0.0148574380186961</v>
      </c>
    </row>
    <row r="31" customFormat="false" ht="15" hidden="false" customHeight="true" outlineLevel="0" collapsed="false">
      <c r="B31" s="63" t="n">
        <v>6.4</v>
      </c>
      <c r="C31" s="64" t="n">
        <f aca="false">_xlfn.NORM.DIST(B31,6,1,FALSE())</f>
        <v>0.368270140303323</v>
      </c>
      <c r="D31" s="64" t="n">
        <f aca="false">_xlfn.NORM.DIST(B31,2.2,1.6,FALSE())</f>
        <v>0.00795261349801965</v>
      </c>
    </row>
    <row r="32" customFormat="false" ht="15" hidden="false" customHeight="true" outlineLevel="0" collapsed="false">
      <c r="B32" s="63" t="n">
        <v>6.8</v>
      </c>
      <c r="C32" s="64" t="n">
        <f aca="false">_xlfn.NORM.DIST(B32,6,1,FALSE())</f>
        <v>0.289691552761483</v>
      </c>
      <c r="D32" s="64" t="n">
        <f aca="false">_xlfn.NORM.DIST(B32,2.2,1.6,FALSE())</f>
        <v>0.00399882519420223</v>
      </c>
    </row>
    <row r="33" customFormat="false" ht="15" hidden="false" customHeight="true" outlineLevel="0" collapsed="false">
      <c r="B33" s="63" t="n">
        <v>7.2</v>
      </c>
      <c r="C33" s="64" t="n">
        <f aca="false">_xlfn.NORM.DIST(B33,6,1,FALSE())</f>
        <v>0.194186054983213</v>
      </c>
      <c r="D33" s="64" t="n">
        <f aca="false">_xlfn.NORM.DIST(B33,2.2,1.6,FALSE())</f>
        <v>0.00188891127199922</v>
      </c>
    </row>
    <row r="34" customFormat="false" ht="15" hidden="false" customHeight="true" outlineLevel="0" collapsed="false">
      <c r="B34" s="63" t="n">
        <v>7.6</v>
      </c>
      <c r="C34" s="64" t="n">
        <f aca="false">_xlfn.NORM.DIST(B34,6,1,FALSE())</f>
        <v>0.110920834679456</v>
      </c>
      <c r="D34" s="64" t="n">
        <f aca="false">_xlfn.NORM.DIST(B34,2.2,1.6,FALSE())</f>
        <v>0.000838199295931488</v>
      </c>
    </row>
    <row r="35" customFormat="false" ht="15" hidden="false" customHeight="true" outlineLevel="0" collapsed="false">
      <c r="B35" s="63" t="n">
        <v>8</v>
      </c>
      <c r="C35" s="64" t="n">
        <f aca="false">_xlfn.NORM.DIST(B35,6,1,FALSE())</f>
        <v>0.0539909665131881</v>
      </c>
      <c r="D35" s="64" t="n">
        <f aca="false">_xlfn.NORM.DIST(B35,2.2,1.6,FALSE())</f>
        <v>0.000349413451395104</v>
      </c>
    </row>
    <row r="36" customFormat="false" ht="15" hidden="false" customHeight="true" outlineLevel="0" collapsed="false">
      <c r="B36" s="63" t="n">
        <v>8.4</v>
      </c>
      <c r="C36" s="64" t="n">
        <f aca="false">_xlfn.NORM.DIST(B36,6,1,FALSE())</f>
        <v>0.0223945302948429</v>
      </c>
      <c r="D36" s="64" t="n">
        <f aca="false">_xlfn.NORM.DIST(B36,2.2,1.6,FALSE())</f>
        <v>0.000136832273602883</v>
      </c>
    </row>
    <row r="37" customFormat="false" ht="15" hidden="false" customHeight="true" outlineLevel="0" collapsed="false">
      <c r="B37" s="63" t="n">
        <v>8.8</v>
      </c>
      <c r="C37" s="64" t="n">
        <f aca="false">_xlfn.NORM.DIST(B37,6,1,FALSE())</f>
        <v>0.00791545158297995</v>
      </c>
      <c r="D37" s="64" t="n">
        <f aca="false">_xlfn.NORM.DIST(B37,2.2,1.6,FALSE())</f>
        <v>5.03377803472463E-005</v>
      </c>
    </row>
    <row r="38" customFormat="false" ht="15" hidden="false" customHeight="true" outlineLevel="0" collapsed="false">
      <c r="B38" s="63" t="n">
        <v>9.2</v>
      </c>
      <c r="C38" s="64" t="n">
        <f aca="false">_xlfn.NORM.DIST(B38,6,1,FALSE())</f>
        <v>0.00238408820146485</v>
      </c>
      <c r="D38" s="64" t="n">
        <f aca="false">_xlfn.NORM.DIST(B38,2.2,1.6,FALSE())</f>
        <v>1.73962713932594E-005</v>
      </c>
    </row>
    <row r="39" customFormat="false" ht="15" hidden="false" customHeight="true" outlineLevel="0" collapsed="false">
      <c r="B39" s="63" t="n">
        <v>9.6</v>
      </c>
      <c r="C39" s="64" t="n">
        <f aca="false">_xlfn.NORM.DIST(B39,6,1,FALSE())</f>
        <v>0.000611901930113773</v>
      </c>
      <c r="D39" s="64" t="n">
        <f aca="false">_xlfn.NORM.DIST(B39,2.2,1.6,FALSE())</f>
        <v>5.64774243065713E-006</v>
      </c>
    </row>
    <row r="40" customFormat="false" ht="15" hidden="false" customHeight="true" outlineLevel="0" collapsed="false">
      <c r="B40" s="63" t="n">
        <v>10</v>
      </c>
      <c r="C40" s="64" t="n">
        <f aca="false">_xlfn.NORM.DIST(B40,6,1,FALSE())</f>
        <v>0.000133830225764885</v>
      </c>
      <c r="D40" s="64" t="n">
        <f aca="false">_xlfn.NORM.DIST(B40,2.2,1.6,FALSE())</f>
        <v>1.72246412346873E-006</v>
      </c>
    </row>
    <row r="41" customFormat="false" ht="15" hidden="false" customHeight="true" outlineLevel="0" collapsed="false">
      <c r="B41" s="63" t="n">
        <v>10.4</v>
      </c>
      <c r="C41" s="64" t="n">
        <f aca="false">_xlfn.NORM.DIST(B41,6,1,FALSE())</f>
        <v>2.49424712900535E-005</v>
      </c>
      <c r="D41" s="64" t="n">
        <f aca="false">_xlfn.NORM.DIST(B41,2.2,1.6,FALSE())</f>
        <v>4.93494233793377E-007</v>
      </c>
    </row>
    <row r="42" customFormat="false" ht="15" hidden="false" customHeight="true" outlineLevel="0" collapsed="false">
      <c r="B42" s="63" t="n">
        <v>10.8</v>
      </c>
      <c r="C42" s="64" t="n">
        <f aca="false">_xlfn.NORM.DIST(B42,6,1,FALSE())</f>
        <v>3.96129909103206E-006</v>
      </c>
      <c r="D42" s="64" t="n">
        <f aca="false">_xlfn.NORM.DIST(B42,2.2,1.6,FALSE())</f>
        <v>1.32822171144392E-007</v>
      </c>
    </row>
    <row r="43" customFormat="false" ht="15" hidden="false" customHeight="true" outlineLevel="0" collapsed="false">
      <c r="B43" s="63" t="n">
        <v>11.2</v>
      </c>
      <c r="C43" s="64" t="n">
        <f aca="false">_xlfn.NORM.DIST(B43,6,1,FALSE())</f>
        <v>5.36103534469764E-007</v>
      </c>
      <c r="D43" s="64" t="n">
        <f aca="false">_xlfn.NORM.DIST(B43,2.2,1.6,FALSE())</f>
        <v>3.35827040660572E-008</v>
      </c>
    </row>
    <row r="44" customFormat="false" ht="15" hidden="false" customHeight="true" outlineLevel="0" collapsed="false">
      <c r="B44" s="63" t="n">
        <v>11.6</v>
      </c>
      <c r="C44" s="64" t="n">
        <f aca="false">_xlfn.NORM.DIST(B44,6,1,FALSE())</f>
        <v>6.18262050016586E-008</v>
      </c>
      <c r="D44" s="64" t="n">
        <f aca="false">_xlfn.NORM.DIST(B44,2.2,1.6,FALSE())</f>
        <v>7.9765913772103E-009</v>
      </c>
    </row>
    <row r="45" customFormat="false" ht="15" hidden="false" customHeight="true" outlineLevel="0" collapsed="false">
      <c r="B45" s="63" t="n">
        <v>12</v>
      </c>
      <c r="C45" s="64" t="n">
        <f aca="false">_xlfn.NORM.DIST(B45,6,1,FALSE())</f>
        <v>6.07588284982329E-009</v>
      </c>
      <c r="D45" s="64" t="n">
        <f aca="false">_xlfn.NORM.DIST(B45,2.2,1.6,FALSE())</f>
        <v>1.77981811143551E-009</v>
      </c>
    </row>
    <row r="46" customFormat="false" ht="15" hidden="false" customHeight="true" outlineLevel="0" collapsed="false">
      <c r="B46" s="63" t="n">
        <v>12.4</v>
      </c>
      <c r="C46" s="64" t="n">
        <f aca="false">_xlfn.NORM.DIST(B46,6,1,FALSE())</f>
        <v>5.08814028164504E-010</v>
      </c>
      <c r="D46" s="64" t="n">
        <f aca="false">_xlfn.NORM.DIST(B46,2.2,1.6,FALSE())</f>
        <v>3.73070143214648E-010</v>
      </c>
    </row>
    <row r="47" customFormat="false" ht="15" hidden="false" customHeight="true" outlineLevel="0" collapsed="false">
      <c r="B47" s="63" t="n">
        <v>12.8</v>
      </c>
      <c r="C47" s="64" t="n">
        <f aca="false">_xlfn.NORM.DIST(B47,6,1,FALSE())</f>
        <v>3.63096150179178E-011</v>
      </c>
      <c r="D47" s="64" t="n">
        <f aca="false">_xlfn.NORM.DIST(B47,2.2,1.6,FALSE())</f>
        <v>7.34618668690638E-011</v>
      </c>
    </row>
    <row r="48" customFormat="false" ht="15" hidden="false" customHeight="true" outlineLevel="0" collapsed="false">
      <c r="B48" s="63" t="n">
        <v>13.2</v>
      </c>
      <c r="C48" s="64" t="n">
        <f aca="false">_xlfn.NORM.DIST(B48,6,1,FALSE())</f>
        <v>2.20798996313716E-012</v>
      </c>
      <c r="D48" s="64" t="n">
        <f aca="false">_xlfn.NORM.DIST(B48,2.2,1.6,FALSE())</f>
        <v>1.35890789732435E-011</v>
      </c>
    </row>
    <row r="49" customFormat="false" ht="15" hidden="false" customHeight="true" outlineLevel="0" collapsed="false">
      <c r="B49" s="63" t="n">
        <v>13.6</v>
      </c>
      <c r="C49" s="64" t="n">
        <f aca="false">_xlfn.NORM.DIST(B49,6,1,FALSE())</f>
        <v>1.14415649018014E-013</v>
      </c>
      <c r="D49" s="64" t="n">
        <f aca="false">_xlfn.NORM.DIST(B49,2.2,1.6,FALSE())</f>
        <v>2.36142784104007E-012</v>
      </c>
    </row>
    <row r="50" customFormat="false" ht="15" hidden="false" customHeight="true" outlineLevel="0" collapsed="false">
      <c r="B50" s="63" t="n">
        <v>14</v>
      </c>
      <c r="C50" s="64" t="n">
        <f aca="false">_xlfn.NORM.DIST(B50,6,1,FALSE())</f>
        <v>5.05227108353689E-015</v>
      </c>
      <c r="D50" s="64" t="n">
        <f aca="false">_xlfn.NORM.DIST(B50,2.2,1.6,FALSE())</f>
        <v>3.85492498033629E-013</v>
      </c>
    </row>
    <row r="52" customFormat="false" ht="15" hidden="false" customHeight="true" outlineLevel="0" collapsed="false">
      <c r="B52" s="17" t="s">
        <v>136</v>
      </c>
      <c r="C52" s="17"/>
      <c r="D52" s="17"/>
      <c r="E52" s="17"/>
      <c r="F52" s="17"/>
      <c r="G52" s="17"/>
      <c r="H52" s="17"/>
      <c r="I52" s="17"/>
      <c r="J52" s="17"/>
      <c r="K52" s="17"/>
      <c r="L52" s="17"/>
      <c r="M52" s="17"/>
    </row>
    <row r="53" customFormat="false" ht="39.75" hidden="false" customHeight="true" outlineLevel="0" collapsed="false">
      <c r="B53" s="59" t="s">
        <v>137</v>
      </c>
      <c r="C53" s="59"/>
      <c r="D53" s="59"/>
      <c r="E53" s="59"/>
      <c r="F53" s="59"/>
      <c r="G53" s="59"/>
      <c r="H53" s="59"/>
      <c r="I53" s="59"/>
      <c r="J53" s="59"/>
      <c r="K53" s="59"/>
      <c r="L53" s="59"/>
      <c r="M53" s="59"/>
    </row>
    <row r="82" customFormat="false" ht="15" hidden="false" customHeight="true" outlineLevel="0" collapsed="false">
      <c r="B82" s="18" t="s">
        <v>138</v>
      </c>
      <c r="C82" s="18"/>
      <c r="D82" s="18"/>
      <c r="E82" s="18"/>
      <c r="F82" s="18"/>
      <c r="G82" s="18"/>
      <c r="H82" s="18"/>
      <c r="I82" s="18"/>
      <c r="J82" s="18"/>
      <c r="K82" s="18"/>
      <c r="L82" s="18"/>
      <c r="M82" s="18"/>
    </row>
    <row r="84" customFormat="false" ht="15" hidden="false" customHeight="true" outlineLevel="0" collapsed="false">
      <c r="B84" s="60" t="s">
        <v>139</v>
      </c>
      <c r="C84" s="60" t="s">
        <v>140</v>
      </c>
    </row>
    <row r="85" customFormat="false" ht="15" hidden="false" customHeight="true" outlineLevel="0" collapsed="false">
      <c r="B85" s="1" t="s">
        <v>141</v>
      </c>
      <c r="C85" s="65" t="n">
        <f aca="false">'Model - PD Estimation'!C26</f>
        <v>0.00112470009997499</v>
      </c>
    </row>
    <row r="86" customFormat="false" ht="15" hidden="false" customHeight="true" outlineLevel="0" collapsed="false">
      <c r="B86" s="1" t="s">
        <v>8</v>
      </c>
      <c r="C86" s="66" t="n">
        <f aca="false">'Model - PD Estimation'!D26</f>
        <v>0.0468351985254489</v>
      </c>
    </row>
  </sheetData>
  <mergeCells count="6">
    <mergeCell ref="B2:M3"/>
    <mergeCell ref="B5:M5"/>
    <mergeCell ref="B7:M7"/>
    <mergeCell ref="B52:M52"/>
    <mergeCell ref="B53:M53"/>
    <mergeCell ref="B82:M8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3"/>
    <col collapsed="false" customWidth="true" hidden="false" outlineLevel="0" max="3" min="3" style="1" width="90"/>
    <col collapsed="false" customWidth="true" hidden="false" outlineLevel="0" max="7" min="4" style="1" width="3"/>
  </cols>
  <sheetData>
    <row r="2" customFormat="false" ht="19.5" hidden="false" customHeight="true" outlineLevel="0" collapsed="false">
      <c r="B2" s="31" t="s">
        <v>142</v>
      </c>
      <c r="C2" s="31"/>
    </row>
    <row r="3" customFormat="false" ht="18" hidden="false" customHeight="true" outlineLevel="0" collapsed="false">
      <c r="B3" s="31"/>
      <c r="C3" s="31"/>
    </row>
    <row r="5" customFormat="false" ht="27.75" hidden="false" customHeight="true" outlineLevel="0" collapsed="false">
      <c r="B5" s="67" t="s">
        <v>143</v>
      </c>
      <c r="C5" s="67"/>
    </row>
    <row r="7" customFormat="false" ht="18" hidden="false" customHeight="true" outlineLevel="0" collapsed="false">
      <c r="B7" s="18" t="s">
        <v>144</v>
      </c>
      <c r="C7" s="18"/>
    </row>
    <row r="9" customFormat="false" ht="15" hidden="false" customHeight="true" outlineLevel="0" collapsed="false">
      <c r="B9" s="68" t="s">
        <v>145</v>
      </c>
      <c r="C9" s="68"/>
    </row>
    <row r="10" customFormat="false" ht="54.75" hidden="false" customHeight="true" outlineLevel="0" collapsed="false">
      <c r="B10" s="7" t="s">
        <v>146</v>
      </c>
      <c r="C10" s="7"/>
    </row>
    <row r="12" customFormat="false" ht="15" hidden="false" customHeight="true" outlineLevel="0" collapsed="false">
      <c r="B12" s="68" t="s">
        <v>147</v>
      </c>
      <c r="C12" s="68"/>
    </row>
    <row r="13" customFormat="false" ht="31.5" hidden="false" customHeight="true" outlineLevel="0" collapsed="false">
      <c r="B13" s="7" t="s">
        <v>148</v>
      </c>
      <c r="C13" s="7"/>
    </row>
    <row r="15" customFormat="false" ht="18" hidden="false" customHeight="true" outlineLevel="0" collapsed="false">
      <c r="B15" s="18" t="s">
        <v>149</v>
      </c>
      <c r="C15" s="18"/>
    </row>
    <row r="17" customFormat="false" ht="15" hidden="false" customHeight="true" outlineLevel="0" collapsed="false">
      <c r="B17" s="68" t="s">
        <v>150</v>
      </c>
      <c r="C17" s="68"/>
    </row>
    <row r="18" customFormat="false" ht="39.75" hidden="false" customHeight="true" outlineLevel="0" collapsed="false">
      <c r="B18" s="7" t="s">
        <v>151</v>
      </c>
      <c r="C18" s="7"/>
    </row>
    <row r="20" customFormat="false" ht="15" hidden="false" customHeight="true" outlineLevel="0" collapsed="false">
      <c r="B20" s="68" t="s">
        <v>152</v>
      </c>
      <c r="C20" s="68"/>
    </row>
    <row r="21" customFormat="false" ht="39.75" hidden="false" customHeight="true" outlineLevel="0" collapsed="false">
      <c r="B21" s="7" t="s">
        <v>153</v>
      </c>
      <c r="C21" s="7"/>
    </row>
    <row r="23" customFormat="false" ht="15" hidden="false" customHeight="true" outlineLevel="0" collapsed="false">
      <c r="B23" s="68" t="s">
        <v>154</v>
      </c>
      <c r="C23" s="68"/>
    </row>
    <row r="24" customFormat="false" ht="45" hidden="false" customHeight="true" outlineLevel="0" collapsed="false">
      <c r="B24" s="7" t="s">
        <v>155</v>
      </c>
      <c r="C24" s="7"/>
    </row>
    <row r="26" customFormat="false" ht="15" hidden="false" customHeight="true" outlineLevel="0" collapsed="false">
      <c r="B26" s="68" t="s">
        <v>156</v>
      </c>
      <c r="C26" s="68"/>
    </row>
    <row r="27" customFormat="false" ht="39.75" hidden="false" customHeight="true" outlineLevel="0" collapsed="false">
      <c r="B27" s="7" t="s">
        <v>157</v>
      </c>
      <c r="C27" s="7"/>
    </row>
    <row r="29" customFormat="false" ht="18" hidden="false" customHeight="true" outlineLevel="0" collapsed="false">
      <c r="B29" s="18" t="s">
        <v>158</v>
      </c>
      <c r="C29" s="18"/>
    </row>
    <row r="31" customFormat="false" ht="15" hidden="false" customHeight="true" outlineLevel="0" collapsed="false">
      <c r="B31" s="68" t="s">
        <v>159</v>
      </c>
      <c r="C31" s="68"/>
    </row>
    <row r="32" customFormat="false" ht="54.75" hidden="false" customHeight="true" outlineLevel="0" collapsed="false">
      <c r="B32" s="7" t="s">
        <v>160</v>
      </c>
      <c r="C32" s="7"/>
    </row>
    <row r="34" customFormat="false" ht="15" hidden="false" customHeight="true" outlineLevel="0" collapsed="false">
      <c r="B34" s="68" t="s">
        <v>161</v>
      </c>
      <c r="C34" s="68"/>
    </row>
    <row r="35" customFormat="false" ht="39.75" hidden="false" customHeight="true" outlineLevel="0" collapsed="false">
      <c r="B35" s="7" t="s">
        <v>162</v>
      </c>
      <c r="C35" s="7"/>
    </row>
    <row r="37" customFormat="false" ht="15" hidden="false" customHeight="true" outlineLevel="0" collapsed="false">
      <c r="B37" s="68" t="s">
        <v>163</v>
      </c>
      <c r="C37" s="68"/>
    </row>
    <row r="38" customFormat="false" ht="34.5" hidden="false" customHeight="true" outlineLevel="0" collapsed="false">
      <c r="B38" s="7" t="s">
        <v>164</v>
      </c>
      <c r="C38" s="7"/>
    </row>
    <row r="40" customFormat="false" ht="18" hidden="false" customHeight="true" outlineLevel="0" collapsed="false">
      <c r="B40" s="18" t="s">
        <v>165</v>
      </c>
      <c r="C40" s="18"/>
    </row>
    <row r="42" customFormat="false" ht="15" hidden="false" customHeight="true" outlineLevel="0" collapsed="false">
      <c r="B42" s="68" t="s">
        <v>166</v>
      </c>
      <c r="C42" s="68"/>
    </row>
    <row r="43" customFormat="false" ht="31.5" hidden="false" customHeight="true" outlineLevel="0" collapsed="false">
      <c r="B43" s="7" t="s">
        <v>167</v>
      </c>
      <c r="C43" s="7"/>
    </row>
    <row r="45" customFormat="false" ht="15" hidden="false" customHeight="true" outlineLevel="0" collapsed="false">
      <c r="B45" s="68" t="s">
        <v>168</v>
      </c>
      <c r="C45" s="68"/>
    </row>
    <row r="46" customFormat="false" ht="34.5" hidden="false" customHeight="true" outlineLevel="0" collapsed="false">
      <c r="B46" s="7" t="s">
        <v>169</v>
      </c>
      <c r="C46" s="7"/>
    </row>
    <row r="48" customFormat="false" ht="15" hidden="false" customHeight="true" outlineLevel="0" collapsed="false">
      <c r="B48" s="68" t="s">
        <v>170</v>
      </c>
      <c r="C48" s="68"/>
    </row>
    <row r="49" customFormat="false" ht="34.5" hidden="false" customHeight="true" outlineLevel="0" collapsed="false">
      <c r="B49" s="7" t="s">
        <v>171</v>
      </c>
      <c r="C49" s="7"/>
    </row>
    <row r="51" customFormat="false" ht="18" hidden="false" customHeight="true" outlineLevel="0" collapsed="false">
      <c r="B51" s="18" t="s">
        <v>172</v>
      </c>
      <c r="C51" s="18"/>
    </row>
    <row r="53" customFormat="false" ht="15" hidden="false" customHeight="true" outlineLevel="0" collapsed="false">
      <c r="B53" s="68" t="s">
        <v>173</v>
      </c>
      <c r="C53" s="68"/>
    </row>
    <row r="54" customFormat="false" ht="39.75" hidden="false" customHeight="true" outlineLevel="0" collapsed="false">
      <c r="B54" s="7" t="s">
        <v>174</v>
      </c>
      <c r="C54" s="7"/>
    </row>
    <row r="56" customFormat="false" ht="15" hidden="false" customHeight="true" outlineLevel="0" collapsed="false">
      <c r="B56" s="68" t="s">
        <v>175</v>
      </c>
      <c r="C56" s="68"/>
    </row>
    <row r="57" customFormat="false" ht="31.5" hidden="false" customHeight="true" outlineLevel="0" collapsed="false">
      <c r="B57" s="7" t="s">
        <v>176</v>
      </c>
      <c r="C57" s="7"/>
    </row>
  </sheetData>
  <mergeCells count="35">
    <mergeCell ref="B2:C3"/>
    <mergeCell ref="B5:C5"/>
    <mergeCell ref="B7:C7"/>
    <mergeCell ref="B9:C9"/>
    <mergeCell ref="B10:C10"/>
    <mergeCell ref="B12:C12"/>
    <mergeCell ref="B13:C13"/>
    <mergeCell ref="B15:C15"/>
    <mergeCell ref="B17:C17"/>
    <mergeCell ref="B18:C18"/>
    <mergeCell ref="B20:C20"/>
    <mergeCell ref="B21:C21"/>
    <mergeCell ref="B23:C23"/>
    <mergeCell ref="B24:C24"/>
    <mergeCell ref="B26:C26"/>
    <mergeCell ref="B27:C27"/>
    <mergeCell ref="B29:C29"/>
    <mergeCell ref="B31:C31"/>
    <mergeCell ref="B32:C32"/>
    <mergeCell ref="B34:C34"/>
    <mergeCell ref="B35:C35"/>
    <mergeCell ref="B37:C37"/>
    <mergeCell ref="B38:C38"/>
    <mergeCell ref="B40:C40"/>
    <mergeCell ref="B42:C42"/>
    <mergeCell ref="B43:C43"/>
    <mergeCell ref="B45:C45"/>
    <mergeCell ref="B46:C46"/>
    <mergeCell ref="B48:C48"/>
    <mergeCell ref="B49:C49"/>
    <mergeCell ref="B51:C51"/>
    <mergeCell ref="B53:C53"/>
    <mergeCell ref="B54:C54"/>
    <mergeCell ref="B56:C56"/>
    <mergeCell ref="B57:C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2026-07-02T03:45:25Z</dcterms:created>
  <dc:creator>openpyxl</dc:creator>
  <dc:description/>
  <dc:language>en-US</dc:language>
  <cp:lastModifiedBy/>
  <dcterms:modified xsi:type="dcterms:W3CDTF">2026-07-02T03:47:34Z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